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Guide" sheetId="2" state="visible" r:id="rId2"/>
    <sheet name="Locations" sheetId="3" state="visible" r:id="rId3"/>
    <sheet name="Flotte" sheetId="4" state="visible" r:id="rId4"/>
    <sheet name="Clients" sheetId="5" state="visible" r:id="rId5"/>
    <sheet name="Depenses" sheetId="6" state="visible" r:id="rId6"/>
    <sheet name="RendezVo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&quot; MAD&quot;"/>
    <numFmt numFmtId="166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B1F3A"/>
      <sz val="16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0E9C99"/>
      </patternFill>
    </fill>
  </fills>
  <borders count="2">
    <border>
      <left/>
      <right/>
      <top/>
      <bottom/>
      <diagonal/>
    </border>
    <border>
      <bottom style="thin">
        <color rgb="00D8DC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EF3C7"/>
        </patternFill>
      </fill>
    </dxf>
    <dxf>
      <fill>
        <patternFill patternType="solid">
          <fgColor rgb="00DDF3F2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FFE4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_Locations" displayName="T_Locations" ref="A1:K535" headerRowCount="1">
  <autoFilter ref="A1:K535"/>
  <tableColumns count="11">
    <tableColumn id="1" name="N_LOCATION"/>
    <tableColumn id="2" name="MATRICULE"/>
    <tableColumn id="3" name="CIN"/>
    <tableColumn id="4" name="PRIX_JOUR"/>
    <tableColumn id="5" name="DATE_SORTIE"/>
    <tableColumn id="6" name="DATE_ENTREE"/>
    <tableColumn id="7" name="PERIODE"/>
    <tableColumn id="8" name="MONTANT"/>
    <tableColumn id="9" name="DISPONIBILITE"/>
    <tableColumn id="10" name="CANAL"/>
    <tableColumn id="11" name="STATUT"/>
  </tableColumns>
  <tableStyleInfo name="TableStyleLight9" showRowStripes="1"/>
</table>
</file>

<file path=xl/tables/table2.xml><?xml version="1.0" encoding="utf-8"?>
<table xmlns="http://schemas.openxmlformats.org/spreadsheetml/2006/main" id="2" name="T_Flotte" displayName="T_Flotte" ref="A1:N39" headerRowCount="1">
  <autoFilter ref="A1:N39"/>
  <tableColumns count="14">
    <tableColumn id="1" name="CODE"/>
    <tableColumn id="2" name="MATRICULE"/>
    <tableColumn id="3" name="MODELE"/>
    <tableColumn id="4" name="CATEGORIE"/>
    <tableColumn id="5" name="BOITE"/>
    <tableColumn id="6" name="AGENCE"/>
    <tableColumn id="7" name="PRIX_JOUR"/>
    <tableColumn id="8" name="STATUT"/>
    <tableColumn id="9" name="FIN_MAINTENANCE"/>
    <tableColumn id="10" name="MISE_EN_CIRCULATION"/>
    <tableColumn id="11" name="KM"/>
    <tableColumn id="12" name="ASSURANCE_EXPIRE"/>
    <tableColumn id="13" name="VISITE_TECHNIQUE_EXPIRE"/>
    <tableColumn id="14" name="DISPONIBILITE"/>
  </tableColumns>
  <tableStyleInfo name="TableStyleLight9" showRowStripes="1"/>
</table>
</file>

<file path=xl/tables/table3.xml><?xml version="1.0" encoding="utf-8"?>
<table xmlns="http://schemas.openxmlformats.org/spreadsheetml/2006/main" id="3" name="T_Clients" displayName="T_Clients" ref="A1:F201" headerRowCount="1">
  <autoFilter ref="A1:F201"/>
  <tableColumns count="6">
    <tableColumn id="1" name="CIN"/>
    <tableColumn id="2" name="NOM"/>
    <tableColumn id="3" name="TELEPHONE"/>
    <tableColumn id="4" name="VIP"/>
    <tableColumn id="5" name="NOTES"/>
    <tableColumn id="6" name="CODE"/>
  </tableColumns>
  <tableStyleInfo name="TableStyleLight9" showRowStripes="1"/>
</table>
</file>

<file path=xl/tables/table4.xml><?xml version="1.0" encoding="utf-8"?>
<table xmlns="http://schemas.openxmlformats.org/spreadsheetml/2006/main" id="4" name="T_Depenses" displayName="T_Depenses" ref="A1:F220" headerRowCount="1">
  <autoFilter ref="A1:F220"/>
  <tableColumns count="6">
    <tableColumn id="1" name="DATE"/>
    <tableColumn id="2" name="MATRICULE"/>
    <tableColumn id="3" name="CATEGORIE"/>
    <tableColumn id="4" name="MONTANT"/>
    <tableColumn id="5" name="FOURNISSEUR"/>
    <tableColumn id="6" name="NOTE"/>
  </tableColumns>
  <tableStyleInfo name="TableStyleLight9" showRowStripes="1"/>
</table>
</file>

<file path=xl/tables/table5.xml><?xml version="1.0" encoding="utf-8"?>
<table xmlns="http://schemas.openxmlformats.org/spreadsheetml/2006/main" id="5" name="T_RendezVous" displayName="T_RendezVous" ref="A1:G25" headerRowCount="1">
  <autoFilter ref="A1:G25"/>
  <tableColumns count="7">
    <tableColumn id="1" name="DATE"/>
    <tableColumn id="2" name="HEURE"/>
    <tableColumn id="3" name="TYPE"/>
    <tableColumn id="4" name="MATRICULE"/>
    <tableColumn id="5" name="CIN"/>
    <tableColumn id="6" name="STATUT"/>
    <tableColumn id="7" name="NOT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AutoFlow Pro — base de données de l'agence</t>
        </is>
      </c>
    </row>
    <row r="3">
      <c r="A3" t="inlineStr">
        <is>
          <t>Données FICTIVES générées le 25/09/2026 (graine 2026)</t>
        </is>
      </c>
    </row>
    <row r="4">
      <c r="A4" t="inlineStr">
        <is>
          <t>Période : 01/07/2026 → 30/09/2026 (3 mois, haute saison)</t>
        </is>
      </c>
    </row>
    <row r="5">
      <c r="A5" t="inlineStr">
        <is>
          <t>38 véhicules · 200 clients · 534 locations · 219 dépenses · 24 rendez-vous.</t>
        </is>
      </c>
    </row>
    <row r="6">
      <c r="A6" t="inlineStr">
        <is>
          <t>Tarifs basés sur les prix réels du marché marocain 2025-2026 (RAKB, OneClickDrive, Avito, agences Rabat).</t>
        </is>
      </c>
    </row>
    <row r="7">
      <c r="A7" t="inlineStr">
        <is>
          <t>Importer ce fichier dans AutoFlow : Administration → Données Excel. Les colonnes vertes sont calculées.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0" customWidth="1" min="3" max="3"/>
  </cols>
  <sheetData>
    <row r="1" ht="22" customHeight="1">
      <c r="A1" s="2" t="inlineStr">
        <is>
          <t>FEUILLE</t>
        </is>
      </c>
      <c r="B1" s="2" t="inlineStr">
        <is>
          <t>COLONNE</t>
        </is>
      </c>
      <c r="C1" s="2" t="inlineStr">
        <is>
          <t>DESCRIPTION</t>
        </is>
      </c>
    </row>
    <row r="2">
      <c r="A2" t="inlineStr">
        <is>
          <t>Locations</t>
        </is>
      </c>
      <c r="B2" t="inlineStr">
        <is>
          <t>MATRICULE</t>
        </is>
      </c>
      <c r="C2" t="inlineStr">
        <is>
          <t>Plaque du véhicule (doit exister dans Flotte)</t>
        </is>
      </c>
    </row>
    <row r="3">
      <c r="A3" t="inlineStr">
        <is>
          <t>Locations</t>
        </is>
      </c>
      <c r="B3" t="inlineStr">
        <is>
          <t>CIN</t>
        </is>
      </c>
      <c r="C3" t="inlineStr">
        <is>
          <t>CIN marocaine (ex. AB123456) ou passeport (ex. XK1234567)</t>
        </is>
      </c>
    </row>
    <row r="4">
      <c r="A4" t="inlineStr">
        <is>
          <t>Locations</t>
        </is>
      </c>
      <c r="B4" t="inlineStr">
        <is>
          <t>PRIX_JOUR</t>
        </is>
      </c>
      <c r="C4" t="inlineStr">
        <is>
          <t>Prix facturé par jour, en MAD</t>
        </is>
      </c>
    </row>
    <row r="5">
      <c r="A5" t="inlineStr">
        <is>
          <t>Locations</t>
        </is>
      </c>
      <c r="B5" t="inlineStr">
        <is>
          <t>DATE_SORTIE</t>
        </is>
      </c>
      <c r="C5" t="inlineStr">
        <is>
          <t>Le véhicule quitte l'agence (début de location)</t>
        </is>
      </c>
    </row>
    <row r="6">
      <c r="A6" t="inlineStr">
        <is>
          <t>Locations</t>
        </is>
      </c>
      <c r="B6" t="inlineStr">
        <is>
          <t>DATE_ENTREE</t>
        </is>
      </c>
      <c r="C6" t="inlineStr">
        <is>
          <t>Le véhicule revient à l'agence (fin de location)</t>
        </is>
      </c>
    </row>
    <row r="7">
      <c r="A7" t="inlineStr">
        <is>
          <t>Locations</t>
        </is>
      </c>
      <c r="B7" t="inlineStr">
        <is>
          <t>PERIODE</t>
        </is>
      </c>
      <c r="C7" t="inlineStr">
        <is>
          <t>Calculé : DATE_ENTREE − DATE_SORTIE (jours, minimum 1)</t>
        </is>
      </c>
    </row>
    <row r="8">
      <c r="A8" t="inlineStr">
        <is>
          <t>Locations</t>
        </is>
      </c>
      <c r="B8" t="inlineStr">
        <is>
          <t>MONTANT</t>
        </is>
      </c>
      <c r="C8" t="inlineStr">
        <is>
          <t>Calculé : PRIX_JOUR × PERIODE</t>
        </is>
      </c>
    </row>
    <row r="9">
      <c r="A9" t="inlineStr">
        <is>
          <t>Locations</t>
        </is>
      </c>
      <c r="B9" t="inlineStr">
        <is>
          <t>DISPONIBILITE</t>
        </is>
      </c>
      <c r="C9" t="inlineStr">
        <is>
          <t>Calculé : À venir / En cours / Terminée selon la date du jour</t>
        </is>
      </c>
    </row>
    <row r="10">
      <c r="A10" t="inlineStr">
        <is>
          <t>Flotte</t>
        </is>
      </c>
      <c r="B10" t="inlineStr">
        <is>
          <t>DISPONIBILITE</t>
        </is>
      </c>
      <c r="C10" t="inlineStr">
        <is>
          <t>Calculé : Disponible / Louée / Maintenance aujourd'hui</t>
        </is>
      </c>
    </row>
    <row r="11">
      <c r="A11" t="inlineStr">
        <is>
          <t>Depenses</t>
        </is>
      </c>
      <c r="B11" t="inlineStr">
        <is>
          <t>MATRICULE</t>
        </is>
      </c>
      <c r="C11" t="inlineStr">
        <is>
          <t>Vide = frais généraux de l'agence (loyer, salaires…)</t>
        </is>
      </c>
    </row>
    <row r="12">
      <c r="A12" t="inlineStr">
        <is>
          <t>Depenses</t>
        </is>
      </c>
      <c r="B12" t="inlineStr">
        <is>
          <t>CATEGORIE</t>
        </is>
      </c>
      <c r="C12" t="inlineStr">
        <is>
          <t>Liste fermée : Leasing, Assurance, Vignette, Vidange, Pneus, Réparation, Lavage, Visite technique, Carburant, Loyer, Salaires, Électricité &amp; eau, Internet &amp; téléphone, Marketing, Comptabilité, Logiciel</t>
        </is>
      </c>
    </row>
    <row r="13">
      <c r="A13" t="inlineStr">
        <is>
          <t>RendezVous</t>
        </is>
      </c>
      <c r="B13" t="inlineStr">
        <is>
          <t>TYPE</t>
        </is>
      </c>
      <c r="C13" t="inlineStr">
        <is>
          <t>Liste fermée : Entretien garage, Visite technique, Renouvellement assurance, Expertise sinistre, Rendez-vous client, Fournisseur</t>
        </is>
      </c>
    </row>
    <row r="14">
      <c r="A14" t="inlineStr">
        <is>
          <t>—</t>
        </is>
      </c>
      <c r="B14" t="inlineStr">
        <is>
          <t>Colonnes vertes</t>
        </is>
      </c>
      <c r="C14" t="inlineStr">
        <is>
          <t>Formules : ne pas saisir. AutoFlow les recalcule à l'import.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3" customWidth="1" min="10" max="10"/>
    <col width="14" customWidth="1" min="11" max="11"/>
  </cols>
  <sheetData>
    <row r="1" ht="22" customHeight="1">
      <c r="A1" s="2" t="inlineStr">
        <is>
          <t>N_LOCATION</t>
        </is>
      </c>
      <c r="B1" s="2" t="inlineStr">
        <is>
          <t>MATRICULE</t>
        </is>
      </c>
      <c r="C1" s="2" t="inlineStr">
        <is>
          <t>CIN</t>
        </is>
      </c>
      <c r="D1" s="2" t="inlineStr">
        <is>
          <t>PRIX_JOUR</t>
        </is>
      </c>
      <c r="E1" s="2" t="inlineStr">
        <is>
          <t>DATE_SORTIE</t>
        </is>
      </c>
      <c r="F1" s="2" t="inlineStr">
        <is>
          <t>DATE_ENTREE</t>
        </is>
      </c>
      <c r="G1" s="3" t="inlineStr">
        <is>
          <t>PERIODE</t>
        </is>
      </c>
      <c r="H1" s="3" t="inlineStr">
        <is>
          <t>MONTANT</t>
        </is>
      </c>
      <c r="I1" s="3" t="inlineStr">
        <is>
          <t>DISPONIBILITE</t>
        </is>
      </c>
      <c r="J1" s="2" t="inlineStr">
        <is>
          <t>CANAL</t>
        </is>
      </c>
      <c r="K1" s="2" t="inlineStr">
        <is>
          <t>STATUT</t>
        </is>
      </c>
    </row>
    <row r="2">
      <c r="A2" t="inlineStr">
        <is>
          <t>L-00001</t>
        </is>
      </c>
      <c r="B2" t="inlineStr">
        <is>
          <t>49965-H-1</t>
        </is>
      </c>
      <c r="C2" t="inlineStr">
        <is>
          <t>G1943814</t>
        </is>
      </c>
      <c r="D2" s="4" t="n">
        <v>1050</v>
      </c>
      <c r="E2" s="5" t="n">
        <v>46204</v>
      </c>
      <c r="F2" s="5" t="n">
        <v>46211</v>
      </c>
      <c r="G2">
        <f>MAX(1,F2-E2)</f>
        <v/>
      </c>
      <c r="H2" s="4">
        <f>D2*G2</f>
        <v/>
      </c>
      <c r="I2">
        <f>IF(TODAY()&lt;E2,"À venir",IF(TODAY()&lt;F2,"En cours","Terminée"))</f>
        <v/>
      </c>
      <c r="J2" t="inlineStr">
        <is>
          <t>WhatsApp</t>
        </is>
      </c>
      <c r="K2" t="inlineStr">
        <is>
          <t>Terminée</t>
        </is>
      </c>
    </row>
    <row r="3">
      <c r="A3" t="inlineStr">
        <is>
          <t>L-00002</t>
        </is>
      </c>
      <c r="B3" t="inlineStr">
        <is>
          <t>54616-W-1</t>
        </is>
      </c>
      <c r="C3" t="inlineStr">
        <is>
          <t>PA5242299</t>
        </is>
      </c>
      <c r="D3" s="4" t="n">
        <v>190</v>
      </c>
      <c r="E3" s="5" t="n">
        <v>46204</v>
      </c>
      <c r="F3" s="5" t="n">
        <v>46225</v>
      </c>
      <c r="G3">
        <f>MAX(1,F3-E3)</f>
        <v/>
      </c>
      <c r="H3" s="4">
        <f>D3*G3</f>
        <v/>
      </c>
      <c r="I3">
        <f>IF(TODAY()&lt;E3,"À venir",IF(TODAY()&lt;F3,"En cours","Terminée"))</f>
        <v/>
      </c>
      <c r="J3" t="inlineStr">
        <is>
          <t>Booking.com</t>
        </is>
      </c>
      <c r="K3" t="inlineStr">
        <is>
          <t>Terminée</t>
        </is>
      </c>
    </row>
    <row r="4">
      <c r="A4" t="inlineStr">
        <is>
          <t>L-00003</t>
        </is>
      </c>
      <c r="B4" t="inlineStr">
        <is>
          <t>74343-B-1</t>
        </is>
      </c>
      <c r="C4" t="inlineStr">
        <is>
          <t>CD761106</t>
        </is>
      </c>
      <c r="D4" s="4" t="n">
        <v>260</v>
      </c>
      <c r="E4" s="5" t="n">
        <v>46204</v>
      </c>
      <c r="F4" s="5" t="n">
        <v>46211</v>
      </c>
      <c r="G4">
        <f>MAX(1,F4-E4)</f>
        <v/>
      </c>
      <c r="H4" s="4">
        <f>D4*G4</f>
        <v/>
      </c>
      <c r="I4">
        <f>IF(TODAY()&lt;E4,"À venir",IF(TODAY()&lt;F4,"En cours","Terminée"))</f>
        <v/>
      </c>
      <c r="J4" t="inlineStr">
        <is>
          <t>Facebook</t>
        </is>
      </c>
      <c r="K4" t="inlineStr">
        <is>
          <t>Terminée</t>
        </is>
      </c>
    </row>
    <row r="5">
      <c r="A5" t="inlineStr">
        <is>
          <t>L-00004</t>
        </is>
      </c>
      <c r="B5" t="inlineStr">
        <is>
          <t>76545-W-1</t>
        </is>
      </c>
      <c r="C5" t="inlineStr">
        <is>
          <t>EE722487</t>
        </is>
      </c>
      <c r="D5" s="4" t="n">
        <v>720</v>
      </c>
      <c r="E5" s="5" t="n">
        <v>46204</v>
      </c>
      <c r="F5" s="5" t="n">
        <v>46207</v>
      </c>
      <c r="G5">
        <f>MAX(1,F5-E5)</f>
        <v/>
      </c>
      <c r="H5" s="4">
        <f>D5*G5</f>
        <v/>
      </c>
      <c r="I5">
        <f>IF(TODAY()&lt;E5,"À venir",IF(TODAY()&lt;F5,"En cours","Terminée"))</f>
        <v/>
      </c>
      <c r="J5" t="inlineStr">
        <is>
          <t>Facebook</t>
        </is>
      </c>
      <c r="K5" t="inlineStr">
        <is>
          <t>Terminée</t>
        </is>
      </c>
    </row>
    <row r="6">
      <c r="A6" t="inlineStr">
        <is>
          <t>L-00005</t>
        </is>
      </c>
      <c r="B6" t="inlineStr">
        <is>
          <t>81442-B-1</t>
        </is>
      </c>
      <c r="C6" t="inlineStr">
        <is>
          <t>G6378219</t>
        </is>
      </c>
      <c r="D6" s="4" t="n">
        <v>490</v>
      </c>
      <c r="E6" s="5" t="n">
        <v>46204</v>
      </c>
      <c r="F6" s="5" t="n">
        <v>46208</v>
      </c>
      <c r="G6">
        <f>MAX(1,F6-E6)</f>
        <v/>
      </c>
      <c r="H6" s="4">
        <f>D6*G6</f>
        <v/>
      </c>
      <c r="I6">
        <f>IF(TODAY()&lt;E6,"À venir",IF(TODAY()&lt;F6,"En cours","Terminée"))</f>
        <v/>
      </c>
      <c r="J6" t="inlineStr">
        <is>
          <t>Facebook</t>
        </is>
      </c>
      <c r="K6" t="inlineStr">
        <is>
          <t>Terminée</t>
        </is>
      </c>
    </row>
    <row r="7">
      <c r="A7" t="inlineStr">
        <is>
          <t>L-00006</t>
        </is>
      </c>
      <c r="B7" t="inlineStr">
        <is>
          <t>85684-A-1</t>
        </is>
      </c>
      <c r="C7" t="inlineStr">
        <is>
          <t>AD941277</t>
        </is>
      </c>
      <c r="D7" s="4" t="n">
        <v>280</v>
      </c>
      <c r="E7" s="5" t="n">
        <v>46204</v>
      </c>
      <c r="F7" s="5" t="n">
        <v>46207</v>
      </c>
      <c r="G7">
        <f>MAX(1,F7-E7)</f>
        <v/>
      </c>
      <c r="H7" s="4">
        <f>D7*G7</f>
        <v/>
      </c>
      <c r="I7">
        <f>IF(TODAY()&lt;E7,"À venir",IF(TODAY()&lt;F7,"En cours","Terminée"))</f>
        <v/>
      </c>
      <c r="J7" t="inlineStr">
        <is>
          <t>Site web</t>
        </is>
      </c>
      <c r="K7" t="inlineStr">
        <is>
          <t>Terminée</t>
        </is>
      </c>
    </row>
    <row r="8">
      <c r="A8" t="inlineStr">
        <is>
          <t>L-00007</t>
        </is>
      </c>
      <c r="B8" t="inlineStr">
        <is>
          <t>88664-D-1</t>
        </is>
      </c>
      <c r="C8" t="inlineStr">
        <is>
          <t>BE195212</t>
        </is>
      </c>
      <c r="D8" s="4" t="n">
        <v>380</v>
      </c>
      <c r="E8" s="5" t="n">
        <v>46204</v>
      </c>
      <c r="F8" s="5" t="n">
        <v>46209</v>
      </c>
      <c r="G8">
        <f>MAX(1,F8-E8)</f>
        <v/>
      </c>
      <c r="H8" s="4">
        <f>D8*G8</f>
        <v/>
      </c>
      <c r="I8">
        <f>IF(TODAY()&lt;E8,"À venir",IF(TODAY()&lt;F8,"En cours","Terminée"))</f>
        <v/>
      </c>
      <c r="J8" t="inlineStr">
        <is>
          <t>Comptoir</t>
        </is>
      </c>
      <c r="K8" t="inlineStr">
        <is>
          <t>Terminée</t>
        </is>
      </c>
    </row>
    <row r="9">
      <c r="A9" t="inlineStr">
        <is>
          <t>L-00008</t>
        </is>
      </c>
      <c r="B9" t="inlineStr">
        <is>
          <t>88778-A-1</t>
        </is>
      </c>
      <c r="C9" t="inlineStr">
        <is>
          <t>DA228644</t>
        </is>
      </c>
      <c r="D9" s="4" t="n">
        <v>230</v>
      </c>
      <c r="E9" s="5" t="n">
        <v>46204</v>
      </c>
      <c r="F9" s="5" t="n">
        <v>46218</v>
      </c>
      <c r="G9">
        <f>MAX(1,F9-E9)</f>
        <v/>
      </c>
      <c r="H9" s="4">
        <f>D9*G9</f>
        <v/>
      </c>
      <c r="I9">
        <f>IF(TODAY()&lt;E9,"À venir",IF(TODAY()&lt;F9,"En cours","Terminée"))</f>
        <v/>
      </c>
      <c r="J9" t="inlineStr">
        <is>
          <t>Téléphone</t>
        </is>
      </c>
      <c r="K9" t="inlineStr">
        <is>
          <t>Terminée</t>
        </is>
      </c>
    </row>
    <row r="10">
      <c r="A10" t="inlineStr">
        <is>
          <t>L-00009</t>
        </is>
      </c>
      <c r="B10" t="inlineStr">
        <is>
          <t>94626-B-1</t>
        </is>
      </c>
      <c r="C10" t="inlineStr">
        <is>
          <t>BK494164</t>
        </is>
      </c>
      <c r="D10" s="4" t="n">
        <v>1060</v>
      </c>
      <c r="E10" s="5" t="n">
        <v>46204</v>
      </c>
      <c r="F10" s="5" t="n">
        <v>46218</v>
      </c>
      <c r="G10">
        <f>MAX(1,F10-E10)</f>
        <v/>
      </c>
      <c r="H10" s="4">
        <f>D10*G10</f>
        <v/>
      </c>
      <c r="I10">
        <f>IF(TODAY()&lt;E10,"À venir",IF(TODAY()&lt;F10,"En cours","Terminée"))</f>
        <v/>
      </c>
      <c r="J10" t="inlineStr">
        <is>
          <t>Site web</t>
        </is>
      </c>
      <c r="K10" t="inlineStr">
        <is>
          <t>Terminée</t>
        </is>
      </c>
    </row>
    <row r="11">
      <c r="A11" t="inlineStr">
        <is>
          <t>L-00010</t>
        </is>
      </c>
      <c r="B11" t="inlineStr">
        <is>
          <t>96667-D-1</t>
        </is>
      </c>
      <c r="C11" t="inlineStr">
        <is>
          <t>A4460128</t>
        </is>
      </c>
      <c r="D11" s="4" t="n">
        <v>1030</v>
      </c>
      <c r="E11" s="5" t="n">
        <v>46204</v>
      </c>
      <c r="F11" s="5" t="n">
        <v>46207</v>
      </c>
      <c r="G11">
        <f>MAX(1,F11-E11)</f>
        <v/>
      </c>
      <c r="H11" s="4">
        <f>D11*G11</f>
        <v/>
      </c>
      <c r="I11">
        <f>IF(TODAY()&lt;E11,"À venir",IF(TODAY()&lt;F11,"En cours","Terminée"))</f>
        <v/>
      </c>
      <c r="J11" t="inlineStr">
        <is>
          <t>WhatsApp</t>
        </is>
      </c>
      <c r="K11" t="inlineStr">
        <is>
          <t>Terminée</t>
        </is>
      </c>
    </row>
    <row r="12">
      <c r="A12" t="inlineStr">
        <is>
          <t>L-00011</t>
        </is>
      </c>
      <c r="B12" t="inlineStr">
        <is>
          <t>22080-H-1</t>
        </is>
      </c>
      <c r="C12" t="inlineStr">
        <is>
          <t>CD196457</t>
        </is>
      </c>
      <c r="D12" s="4" t="n">
        <v>340</v>
      </c>
      <c r="E12" s="5" t="n">
        <v>46205</v>
      </c>
      <c r="F12" s="5" t="n">
        <v>46210</v>
      </c>
      <c r="G12">
        <f>MAX(1,F12-E12)</f>
        <v/>
      </c>
      <c r="H12" s="4">
        <f>D12*G12</f>
        <v/>
      </c>
      <c r="I12">
        <f>IF(TODAY()&lt;E12,"À venir",IF(TODAY()&lt;F12,"En cours","Terminée"))</f>
        <v/>
      </c>
      <c r="J12" t="inlineStr">
        <is>
          <t>Instagram</t>
        </is>
      </c>
      <c r="K12" t="inlineStr">
        <is>
          <t>Terminée</t>
        </is>
      </c>
    </row>
    <row r="13">
      <c r="A13" t="inlineStr">
        <is>
          <t>L-00012</t>
        </is>
      </c>
      <c r="B13" t="inlineStr">
        <is>
          <t>22394-A-1</t>
        </is>
      </c>
      <c r="C13" t="inlineStr">
        <is>
          <t>DA287805</t>
        </is>
      </c>
      <c r="D13" s="4" t="n">
        <v>390</v>
      </c>
      <c r="E13" s="5" t="n">
        <v>46205</v>
      </c>
      <c r="F13" s="5" t="n">
        <v>46210</v>
      </c>
      <c r="G13">
        <f>MAX(1,F13-E13)</f>
        <v/>
      </c>
      <c r="H13" s="4">
        <f>D13*G13</f>
        <v/>
      </c>
      <c r="I13">
        <f>IF(TODAY()&lt;E13,"À venir",IF(TODAY()&lt;F13,"En cours","Terminée"))</f>
        <v/>
      </c>
      <c r="J13" t="inlineStr">
        <is>
          <t>WhatsApp</t>
        </is>
      </c>
      <c r="K13" t="inlineStr">
        <is>
          <t>Terminée</t>
        </is>
      </c>
    </row>
    <row r="14">
      <c r="A14" t="inlineStr">
        <is>
          <t>L-00013</t>
        </is>
      </c>
      <c r="B14" t="inlineStr">
        <is>
          <t>36193-W-1</t>
        </is>
      </c>
      <c r="C14" t="inlineStr">
        <is>
          <t>CD720352</t>
        </is>
      </c>
      <c r="D14" s="4" t="n">
        <v>500</v>
      </c>
      <c r="E14" s="5" t="n">
        <v>46205</v>
      </c>
      <c r="F14" s="5" t="n">
        <v>46210</v>
      </c>
      <c r="G14">
        <f>MAX(1,F14-E14)</f>
        <v/>
      </c>
      <c r="H14" s="4">
        <f>D14*G14</f>
        <v/>
      </c>
      <c r="I14">
        <f>IF(TODAY()&lt;E14,"À venir",IF(TODAY()&lt;F14,"En cours","Terminée"))</f>
        <v/>
      </c>
      <c r="J14" t="inlineStr">
        <is>
          <t>WhatsApp</t>
        </is>
      </c>
      <c r="K14" t="inlineStr">
        <is>
          <t>Terminée</t>
        </is>
      </c>
    </row>
    <row r="15">
      <c r="A15" t="inlineStr">
        <is>
          <t>L-00014</t>
        </is>
      </c>
      <c r="B15" t="inlineStr">
        <is>
          <t>62268-B-1</t>
        </is>
      </c>
      <c r="C15" t="inlineStr">
        <is>
          <t>G4153192</t>
        </is>
      </c>
      <c r="D15" s="4" t="n">
        <v>310</v>
      </c>
      <c r="E15" s="5" t="n">
        <v>46205</v>
      </c>
      <c r="F15" s="5" t="n">
        <v>46207</v>
      </c>
      <c r="G15">
        <f>MAX(1,F15-E15)</f>
        <v/>
      </c>
      <c r="H15" s="4">
        <f>D15*G15</f>
        <v/>
      </c>
      <c r="I15">
        <f>IF(TODAY()&lt;E15,"À venir",IF(TODAY()&lt;F15,"En cours","Terminée"))</f>
        <v/>
      </c>
      <c r="J15" t="inlineStr">
        <is>
          <t>Comptoir</t>
        </is>
      </c>
      <c r="K15" t="inlineStr">
        <is>
          <t>Terminée</t>
        </is>
      </c>
    </row>
    <row r="16">
      <c r="A16" t="inlineStr">
        <is>
          <t>L-00015</t>
        </is>
      </c>
      <c r="B16" t="inlineStr">
        <is>
          <t>69873-A-1</t>
        </is>
      </c>
      <c r="C16" t="inlineStr">
        <is>
          <t>A9252015</t>
        </is>
      </c>
      <c r="D16" s="4" t="n">
        <v>370</v>
      </c>
      <c r="E16" s="5" t="n">
        <v>46205</v>
      </c>
      <c r="F16" s="5" t="n">
        <v>46210</v>
      </c>
      <c r="G16">
        <f>MAX(1,F16-E16)</f>
        <v/>
      </c>
      <c r="H16" s="4">
        <f>D16*G16</f>
        <v/>
      </c>
      <c r="I16">
        <f>IF(TODAY()&lt;E16,"À venir",IF(TODAY()&lt;F16,"En cours","Terminée"))</f>
        <v/>
      </c>
      <c r="J16" t="inlineStr">
        <is>
          <t>Booking.com</t>
        </is>
      </c>
      <c r="K16" t="inlineStr">
        <is>
          <t>Terminée</t>
        </is>
      </c>
    </row>
    <row r="17">
      <c r="A17" t="inlineStr">
        <is>
          <t>L-00016</t>
        </is>
      </c>
      <c r="B17" t="inlineStr">
        <is>
          <t>71302-W-1</t>
        </is>
      </c>
      <c r="C17" t="inlineStr">
        <is>
          <t>DA850793</t>
        </is>
      </c>
      <c r="D17" s="4" t="n">
        <v>410</v>
      </c>
      <c r="E17" s="5" t="n">
        <v>46205</v>
      </c>
      <c r="F17" s="5" t="n">
        <v>46219</v>
      </c>
      <c r="G17">
        <f>MAX(1,F17-E17)</f>
        <v/>
      </c>
      <c r="H17" s="4">
        <f>D17*G17</f>
        <v/>
      </c>
      <c r="I17">
        <f>IF(TODAY()&lt;E17,"À venir",IF(TODAY()&lt;F17,"En cours","Terminée"))</f>
        <v/>
      </c>
      <c r="J17" t="inlineStr">
        <is>
          <t>Téléphone</t>
        </is>
      </c>
      <c r="K17" t="inlineStr">
        <is>
          <t>Terminée</t>
        </is>
      </c>
    </row>
    <row r="18">
      <c r="A18" t="inlineStr">
        <is>
          <t>L-00017</t>
        </is>
      </c>
      <c r="B18" t="inlineStr">
        <is>
          <t>76897-B-1</t>
        </is>
      </c>
      <c r="C18" t="inlineStr">
        <is>
          <t>DA794435</t>
        </is>
      </c>
      <c r="D18" s="4" t="n">
        <v>670</v>
      </c>
      <c r="E18" s="5" t="n">
        <v>46205</v>
      </c>
      <c r="F18" s="5" t="n">
        <v>46207</v>
      </c>
      <c r="G18">
        <f>MAX(1,F18-E18)</f>
        <v/>
      </c>
      <c r="H18" s="4">
        <f>D18*G18</f>
        <v/>
      </c>
      <c r="I18">
        <f>IF(TODAY()&lt;E18,"À venir",IF(TODAY()&lt;F18,"En cours","Terminée"))</f>
        <v/>
      </c>
      <c r="J18" t="inlineStr">
        <is>
          <t>Téléphone</t>
        </is>
      </c>
      <c r="K18" t="inlineStr">
        <is>
          <t>Terminée</t>
        </is>
      </c>
    </row>
    <row r="19">
      <c r="A19" t="inlineStr">
        <is>
          <t>L-00018</t>
        </is>
      </c>
      <c r="B19" t="inlineStr">
        <is>
          <t>77893-H-1</t>
        </is>
      </c>
      <c r="C19" t="inlineStr">
        <is>
          <t>AB590499</t>
        </is>
      </c>
      <c r="D19" s="4" t="n">
        <v>290</v>
      </c>
      <c r="E19" s="5" t="n">
        <v>46205</v>
      </c>
      <c r="F19" s="5" t="n">
        <v>46219</v>
      </c>
      <c r="G19">
        <f>MAX(1,F19-E19)</f>
        <v/>
      </c>
      <c r="H19" s="4">
        <f>D19*G19</f>
        <v/>
      </c>
      <c r="I19">
        <f>IF(TODAY()&lt;E19,"À venir",IF(TODAY()&lt;F19,"En cours","Terminée"))</f>
        <v/>
      </c>
      <c r="J19" t="inlineStr">
        <is>
          <t>Facebook</t>
        </is>
      </c>
      <c r="K19" t="inlineStr">
        <is>
          <t>Terminée</t>
        </is>
      </c>
    </row>
    <row r="20">
      <c r="A20" t="inlineStr">
        <is>
          <t>L-00019</t>
        </is>
      </c>
      <c r="B20" t="inlineStr">
        <is>
          <t>97618-A-1</t>
        </is>
      </c>
      <c r="C20" t="inlineStr">
        <is>
          <t>DA563230</t>
        </is>
      </c>
      <c r="D20" s="4" t="n">
        <v>520</v>
      </c>
      <c r="E20" s="5" t="n">
        <v>46205</v>
      </c>
      <c r="F20" s="5" t="n">
        <v>46210</v>
      </c>
      <c r="G20">
        <f>MAX(1,F20-E20)</f>
        <v/>
      </c>
      <c r="H20" s="4">
        <f>D20*G20</f>
        <v/>
      </c>
      <c r="I20">
        <f>IF(TODAY()&lt;E20,"À venir",IF(TODAY()&lt;F20,"En cours","Terminée"))</f>
        <v/>
      </c>
      <c r="J20" t="inlineStr">
        <is>
          <t>Comptoir</t>
        </is>
      </c>
      <c r="K20" t="inlineStr">
        <is>
          <t>Terminée</t>
        </is>
      </c>
    </row>
    <row r="21">
      <c r="A21" t="inlineStr">
        <is>
          <t>L-00020</t>
        </is>
      </c>
      <c r="B21" t="inlineStr">
        <is>
          <t>33992-B-1</t>
        </is>
      </c>
      <c r="C21" t="inlineStr">
        <is>
          <t>DA400926</t>
        </is>
      </c>
      <c r="D21" s="4" t="n">
        <v>510</v>
      </c>
      <c r="E21" s="5" t="n">
        <v>46206</v>
      </c>
      <c r="F21" s="5" t="n">
        <v>46211</v>
      </c>
      <c r="G21">
        <f>MAX(1,F21-E21)</f>
        <v/>
      </c>
      <c r="H21" s="4">
        <f>D21*G21</f>
        <v/>
      </c>
      <c r="I21">
        <f>IF(TODAY()&lt;E21,"À venir",IF(TODAY()&lt;F21,"En cours","Terminée"))</f>
        <v/>
      </c>
      <c r="J21" t="inlineStr">
        <is>
          <t>Facebook</t>
        </is>
      </c>
      <c r="K21" t="inlineStr">
        <is>
          <t>Terminée</t>
        </is>
      </c>
    </row>
    <row r="22">
      <c r="A22" t="inlineStr">
        <is>
          <t>L-00021</t>
        </is>
      </c>
      <c r="B22" t="inlineStr">
        <is>
          <t>35623-W-1</t>
        </is>
      </c>
      <c r="C22" t="inlineStr">
        <is>
          <t>A2728998</t>
        </is>
      </c>
      <c r="D22" s="4" t="n">
        <v>1550</v>
      </c>
      <c r="E22" s="5" t="n">
        <v>46206</v>
      </c>
      <c r="F22" s="5" t="n">
        <v>46211</v>
      </c>
      <c r="G22">
        <f>MAX(1,F22-E22)</f>
        <v/>
      </c>
      <c r="H22" s="4">
        <f>D22*G22</f>
        <v/>
      </c>
      <c r="I22">
        <f>IF(TODAY()&lt;E22,"À venir",IF(TODAY()&lt;F22,"En cours","Terminée"))</f>
        <v/>
      </c>
      <c r="J22" t="inlineStr">
        <is>
          <t>Comptoir</t>
        </is>
      </c>
      <c r="K22" t="inlineStr">
        <is>
          <t>Terminée</t>
        </is>
      </c>
    </row>
    <row r="23">
      <c r="A23" t="inlineStr">
        <is>
          <t>L-00022</t>
        </is>
      </c>
      <c r="B23" t="inlineStr">
        <is>
          <t>62064-H-1</t>
        </is>
      </c>
      <c r="C23" t="inlineStr">
        <is>
          <t>AD710001</t>
        </is>
      </c>
      <c r="D23" s="4" t="n">
        <v>340</v>
      </c>
      <c r="E23" s="5" t="n">
        <v>46206</v>
      </c>
      <c r="F23" s="5" t="n">
        <v>46211</v>
      </c>
      <c r="G23">
        <f>MAX(1,F23-E23)</f>
        <v/>
      </c>
      <c r="H23" s="4">
        <f>D23*G23</f>
        <v/>
      </c>
      <c r="I23">
        <f>IF(TODAY()&lt;E23,"À venir",IF(TODAY()&lt;F23,"En cours","Terminée"))</f>
        <v/>
      </c>
      <c r="J23" t="inlineStr">
        <is>
          <t>WhatsApp</t>
        </is>
      </c>
      <c r="K23" t="inlineStr">
        <is>
          <t>Terminée</t>
        </is>
      </c>
    </row>
    <row r="24">
      <c r="A24" t="inlineStr">
        <is>
          <t>L-00023</t>
        </is>
      </c>
      <c r="B24" t="inlineStr">
        <is>
          <t>71994-D-1</t>
        </is>
      </c>
      <c r="C24" t="inlineStr">
        <is>
          <t>BK346421</t>
        </is>
      </c>
      <c r="D24" s="4" t="n">
        <v>650</v>
      </c>
      <c r="E24" s="5" t="n">
        <v>46206</v>
      </c>
      <c r="F24" s="5" t="n">
        <v>46208</v>
      </c>
      <c r="G24">
        <f>MAX(1,F24-E24)</f>
        <v/>
      </c>
      <c r="H24" s="4">
        <f>D24*G24</f>
        <v/>
      </c>
      <c r="I24">
        <f>IF(TODAY()&lt;E24,"À venir",IF(TODAY()&lt;F24,"En cours","Terminée"))</f>
        <v/>
      </c>
      <c r="J24" t="inlineStr">
        <is>
          <t>Booking.com</t>
        </is>
      </c>
      <c r="K24" t="inlineStr">
        <is>
          <t>Terminée</t>
        </is>
      </c>
    </row>
    <row r="25">
      <c r="A25" t="inlineStr">
        <is>
          <t>L-00024</t>
        </is>
      </c>
      <c r="B25" t="inlineStr">
        <is>
          <t>75329-D-1</t>
        </is>
      </c>
      <c r="C25" t="inlineStr">
        <is>
          <t>CD298236</t>
        </is>
      </c>
      <c r="D25" s="4" t="n">
        <v>590</v>
      </c>
      <c r="E25" s="5" t="n">
        <v>46206</v>
      </c>
      <c r="F25" s="5" t="n">
        <v>46211</v>
      </c>
      <c r="G25">
        <f>MAX(1,F25-E25)</f>
        <v/>
      </c>
      <c r="H25" s="4">
        <f>D25*G25</f>
        <v/>
      </c>
      <c r="I25">
        <f>IF(TODAY()&lt;E25,"À venir",IF(TODAY()&lt;F25,"En cours","Terminée"))</f>
        <v/>
      </c>
      <c r="J25" t="inlineStr">
        <is>
          <t>Téléphone</t>
        </is>
      </c>
      <c r="K25" t="inlineStr">
        <is>
          <t>Terminée</t>
        </is>
      </c>
    </row>
    <row r="26">
      <c r="A26" t="inlineStr">
        <is>
          <t>L-00025</t>
        </is>
      </c>
      <c r="B26" t="inlineStr">
        <is>
          <t>84923-D-1</t>
        </is>
      </c>
      <c r="C26" t="inlineStr">
        <is>
          <t>AA470174</t>
        </is>
      </c>
      <c r="D26" s="4" t="n">
        <v>730</v>
      </c>
      <c r="E26" s="5" t="n">
        <v>46206</v>
      </c>
      <c r="F26" s="5" t="n">
        <v>46209</v>
      </c>
      <c r="G26">
        <f>MAX(1,F26-E26)</f>
        <v/>
      </c>
      <c r="H26" s="4">
        <f>D26*G26</f>
        <v/>
      </c>
      <c r="I26">
        <f>IF(TODAY()&lt;E26,"À venir",IF(TODAY()&lt;F26,"En cours","Terminée"))</f>
        <v/>
      </c>
      <c r="J26" t="inlineStr">
        <is>
          <t>WhatsApp</t>
        </is>
      </c>
      <c r="K26" t="inlineStr">
        <is>
          <t>Terminée</t>
        </is>
      </c>
    </row>
    <row r="27">
      <c r="A27" t="inlineStr">
        <is>
          <t>L-00026</t>
        </is>
      </c>
      <c r="B27" t="inlineStr">
        <is>
          <t>85272-B-1</t>
        </is>
      </c>
      <c r="C27" t="inlineStr">
        <is>
          <t>CD516136</t>
        </is>
      </c>
      <c r="D27" s="4" t="n">
        <v>570</v>
      </c>
      <c r="E27" s="5" t="n">
        <v>46206</v>
      </c>
      <c r="F27" s="5" t="n">
        <v>46211</v>
      </c>
      <c r="G27">
        <f>MAX(1,F27-E27)</f>
        <v/>
      </c>
      <c r="H27" s="4">
        <f>D27*G27</f>
        <v/>
      </c>
      <c r="I27">
        <f>IF(TODAY()&lt;E27,"À venir",IF(TODAY()&lt;F27,"En cours","Terminée"))</f>
        <v/>
      </c>
      <c r="J27" t="inlineStr">
        <is>
          <t>Téléphone</t>
        </is>
      </c>
      <c r="K27" t="inlineStr">
        <is>
          <t>Terminée</t>
        </is>
      </c>
    </row>
    <row r="28">
      <c r="A28" t="inlineStr">
        <is>
          <t>L-00027</t>
        </is>
      </c>
      <c r="B28" t="inlineStr">
        <is>
          <t>91702-H-1</t>
        </is>
      </c>
      <c r="C28" t="inlineStr">
        <is>
          <t>CD582558</t>
        </is>
      </c>
      <c r="D28" s="4" t="n">
        <v>1000</v>
      </c>
      <c r="E28" s="5" t="n">
        <v>46206</v>
      </c>
      <c r="F28" s="5" t="n">
        <v>46211</v>
      </c>
      <c r="G28">
        <f>MAX(1,F28-E28)</f>
        <v/>
      </c>
      <c r="H28" s="4">
        <f>D28*G28</f>
        <v/>
      </c>
      <c r="I28">
        <f>IF(TODAY()&lt;E28,"À venir",IF(TODAY()&lt;F28,"En cours","Terminée"))</f>
        <v/>
      </c>
      <c r="J28" t="inlineStr">
        <is>
          <t>Instagram</t>
        </is>
      </c>
      <c r="K28" t="inlineStr">
        <is>
          <t>Terminée</t>
        </is>
      </c>
    </row>
    <row r="29">
      <c r="A29" t="inlineStr">
        <is>
          <t>L-00028</t>
        </is>
      </c>
      <c r="B29" t="inlineStr">
        <is>
          <t>95936-H-1</t>
        </is>
      </c>
      <c r="C29" t="inlineStr">
        <is>
          <t>EE109390</t>
        </is>
      </c>
      <c r="D29" s="4" t="n">
        <v>490</v>
      </c>
      <c r="E29" s="5" t="n">
        <v>46206</v>
      </c>
      <c r="F29" s="5" t="n">
        <v>46209</v>
      </c>
      <c r="G29">
        <f>MAX(1,F29-E29)</f>
        <v/>
      </c>
      <c r="H29" s="4">
        <f>D29*G29</f>
        <v/>
      </c>
      <c r="I29">
        <f>IF(TODAY()&lt;E29,"À venir",IF(TODAY()&lt;F29,"En cours","Terminée"))</f>
        <v/>
      </c>
      <c r="J29" t="inlineStr">
        <is>
          <t>Comptoir</t>
        </is>
      </c>
      <c r="K29" t="inlineStr">
        <is>
          <t>Terminée</t>
        </is>
      </c>
    </row>
    <row r="30">
      <c r="A30" t="inlineStr">
        <is>
          <t>L-00029</t>
        </is>
      </c>
      <c r="B30" t="inlineStr">
        <is>
          <t>97018-A-1</t>
        </is>
      </c>
      <c r="C30" t="inlineStr">
        <is>
          <t>G1943814</t>
        </is>
      </c>
      <c r="D30" s="4" t="n">
        <v>430</v>
      </c>
      <c r="E30" s="5" t="n">
        <v>46206</v>
      </c>
      <c r="F30" s="5" t="n">
        <v>46209</v>
      </c>
      <c r="G30">
        <f>MAX(1,F30-E30)</f>
        <v/>
      </c>
      <c r="H30" s="4">
        <f>D30*G30</f>
        <v/>
      </c>
      <c r="I30">
        <f>IF(TODAY()&lt;E30,"À venir",IF(TODAY()&lt;F30,"En cours","Terminée"))</f>
        <v/>
      </c>
      <c r="J30" t="inlineStr">
        <is>
          <t>WhatsApp</t>
        </is>
      </c>
      <c r="K30" t="inlineStr">
        <is>
          <t>Terminée</t>
        </is>
      </c>
    </row>
    <row r="31">
      <c r="A31" t="inlineStr">
        <is>
          <t>L-00030</t>
        </is>
      </c>
      <c r="B31" t="inlineStr">
        <is>
          <t>21066-H-1</t>
        </is>
      </c>
      <c r="C31" t="inlineStr">
        <is>
          <t>DA850793</t>
        </is>
      </c>
      <c r="D31" s="4" t="n">
        <v>590</v>
      </c>
      <c r="E31" s="5" t="n">
        <v>46207</v>
      </c>
      <c r="F31" s="5" t="n">
        <v>46210</v>
      </c>
      <c r="G31">
        <f>MAX(1,F31-E31)</f>
        <v/>
      </c>
      <c r="H31" s="4">
        <f>D31*G31</f>
        <v/>
      </c>
      <c r="I31">
        <f>IF(TODAY()&lt;E31,"À venir",IF(TODAY()&lt;F31,"En cours","Terminée"))</f>
        <v/>
      </c>
      <c r="J31" t="inlineStr">
        <is>
          <t>WhatsApp</t>
        </is>
      </c>
      <c r="K31" t="inlineStr">
        <is>
          <t>Terminée</t>
        </is>
      </c>
    </row>
    <row r="32">
      <c r="A32" t="inlineStr">
        <is>
          <t>L-00031</t>
        </is>
      </c>
      <c r="B32" t="inlineStr">
        <is>
          <t>25835-W-1</t>
        </is>
      </c>
      <c r="C32" t="inlineStr">
        <is>
          <t>A2728998</t>
        </is>
      </c>
      <c r="D32" s="4" t="n">
        <v>600</v>
      </c>
      <c r="E32" s="5" t="n">
        <v>46207</v>
      </c>
      <c r="F32" s="5" t="n">
        <v>46211</v>
      </c>
      <c r="G32">
        <f>MAX(1,F32-E32)</f>
        <v/>
      </c>
      <c r="H32" s="4">
        <f>D32*G32</f>
        <v/>
      </c>
      <c r="I32">
        <f>IF(TODAY()&lt;E32,"À venir",IF(TODAY()&lt;F32,"En cours","Terminée"))</f>
        <v/>
      </c>
      <c r="J32" t="inlineStr">
        <is>
          <t>WhatsApp</t>
        </is>
      </c>
      <c r="K32" t="inlineStr">
        <is>
          <t>Terminée</t>
        </is>
      </c>
    </row>
    <row r="33">
      <c r="A33" t="inlineStr">
        <is>
          <t>L-00032</t>
        </is>
      </c>
      <c r="B33" t="inlineStr">
        <is>
          <t>47649-D-1</t>
        </is>
      </c>
      <c r="C33" t="inlineStr">
        <is>
          <t>A4114424</t>
        </is>
      </c>
      <c r="D33" s="4" t="n">
        <v>320</v>
      </c>
      <c r="E33" s="5" t="n">
        <v>46207</v>
      </c>
      <c r="F33" s="5" t="n">
        <v>46209</v>
      </c>
      <c r="G33">
        <f>MAX(1,F33-E33)</f>
        <v/>
      </c>
      <c r="H33" s="4">
        <f>D33*G33</f>
        <v/>
      </c>
      <c r="I33">
        <f>IF(TODAY()&lt;E33,"À venir",IF(TODAY()&lt;F33,"En cours","Terminée"))</f>
        <v/>
      </c>
      <c r="J33" t="inlineStr">
        <is>
          <t>Site web</t>
        </is>
      </c>
      <c r="K33" t="inlineStr">
        <is>
          <t>Terminée</t>
        </is>
      </c>
    </row>
    <row r="34">
      <c r="A34" t="inlineStr">
        <is>
          <t>L-00033</t>
        </is>
      </c>
      <c r="B34" t="inlineStr">
        <is>
          <t>69221-A-1</t>
        </is>
      </c>
      <c r="C34" t="inlineStr">
        <is>
          <t>AB3614343</t>
        </is>
      </c>
      <c r="D34" s="4" t="n">
        <v>1350</v>
      </c>
      <c r="E34" s="5" t="n">
        <v>46207</v>
      </c>
      <c r="F34" s="5" t="n">
        <v>46211</v>
      </c>
      <c r="G34">
        <f>MAX(1,F34-E34)</f>
        <v/>
      </c>
      <c r="H34" s="4">
        <f>D34*G34</f>
        <v/>
      </c>
      <c r="I34">
        <f>IF(TODAY()&lt;E34,"À venir",IF(TODAY()&lt;F34,"En cours","Terminée"))</f>
        <v/>
      </c>
      <c r="J34" t="inlineStr">
        <is>
          <t>Booking.com</t>
        </is>
      </c>
      <c r="K34" t="inlineStr">
        <is>
          <t>Terminée</t>
        </is>
      </c>
    </row>
    <row r="35">
      <c r="A35" t="inlineStr">
        <is>
          <t>L-00034</t>
        </is>
      </c>
      <c r="B35" t="inlineStr">
        <is>
          <t>72769-D-1</t>
        </is>
      </c>
      <c r="C35" t="inlineStr">
        <is>
          <t>AB590499</t>
        </is>
      </c>
      <c r="D35" s="4" t="n">
        <v>190</v>
      </c>
      <c r="E35" s="5" t="n">
        <v>46207</v>
      </c>
      <c r="F35" s="5" t="n">
        <v>46228</v>
      </c>
      <c r="G35">
        <f>MAX(1,F35-E35)</f>
        <v/>
      </c>
      <c r="H35" s="4">
        <f>D35*G35</f>
        <v/>
      </c>
      <c r="I35">
        <f>IF(TODAY()&lt;E35,"À venir",IF(TODAY()&lt;F35,"En cours","Terminée"))</f>
        <v/>
      </c>
      <c r="J35" t="inlineStr">
        <is>
          <t>Facebook</t>
        </is>
      </c>
      <c r="K35" t="inlineStr">
        <is>
          <t>Terminée</t>
        </is>
      </c>
    </row>
    <row r="36">
      <c r="A36" t="inlineStr">
        <is>
          <t>L-00035</t>
        </is>
      </c>
      <c r="B36" t="inlineStr">
        <is>
          <t>83373-B-1</t>
        </is>
      </c>
      <c r="C36" t="inlineStr">
        <is>
          <t>YA2573916</t>
        </is>
      </c>
      <c r="D36" s="4" t="n">
        <v>340</v>
      </c>
      <c r="E36" s="5" t="n">
        <v>46207</v>
      </c>
      <c r="F36" s="5" t="n">
        <v>46212</v>
      </c>
      <c r="G36">
        <f>MAX(1,F36-E36)</f>
        <v/>
      </c>
      <c r="H36" s="4">
        <f>D36*G36</f>
        <v/>
      </c>
      <c r="I36">
        <f>IF(TODAY()&lt;E36,"À venir",IF(TODAY()&lt;F36,"En cours","Terminée"))</f>
        <v/>
      </c>
      <c r="J36" t="inlineStr">
        <is>
          <t>WhatsApp</t>
        </is>
      </c>
      <c r="K36" t="inlineStr">
        <is>
          <t>Terminée</t>
        </is>
      </c>
    </row>
    <row r="37">
      <c r="A37" t="inlineStr">
        <is>
          <t>L-00036</t>
        </is>
      </c>
      <c r="B37" t="inlineStr">
        <is>
          <t>83662-D-1</t>
        </is>
      </c>
      <c r="C37" t="inlineStr">
        <is>
          <t>AA411366</t>
        </is>
      </c>
      <c r="D37" s="4" t="n">
        <v>450</v>
      </c>
      <c r="E37" s="5" t="n">
        <v>46207</v>
      </c>
      <c r="F37" s="5" t="n">
        <v>46212</v>
      </c>
      <c r="G37">
        <f>MAX(1,F37-E37)</f>
        <v/>
      </c>
      <c r="H37" s="4">
        <f>D37*G37</f>
        <v/>
      </c>
      <c r="I37">
        <f>IF(TODAY()&lt;E37,"À venir",IF(TODAY()&lt;F37,"En cours","Terminée"))</f>
        <v/>
      </c>
      <c r="J37" t="inlineStr">
        <is>
          <t>WhatsApp</t>
        </is>
      </c>
      <c r="K37" t="inlineStr">
        <is>
          <t>Terminée</t>
        </is>
      </c>
    </row>
    <row r="38">
      <c r="A38" t="inlineStr">
        <is>
          <t>L-00037</t>
        </is>
      </c>
      <c r="B38" t="inlineStr">
        <is>
          <t>91567-W-1</t>
        </is>
      </c>
      <c r="C38" t="inlineStr">
        <is>
          <t>PA7788001</t>
        </is>
      </c>
      <c r="D38" s="4" t="n">
        <v>240</v>
      </c>
      <c r="E38" s="5" t="n">
        <v>46207</v>
      </c>
      <c r="F38" s="5" t="n">
        <v>46212</v>
      </c>
      <c r="G38">
        <f>MAX(1,F38-E38)</f>
        <v/>
      </c>
      <c r="H38" s="4">
        <f>D38*G38</f>
        <v/>
      </c>
      <c r="I38">
        <f>IF(TODAY()&lt;E38,"À venir",IF(TODAY()&lt;F38,"En cours","Terminée"))</f>
        <v/>
      </c>
      <c r="J38" t="inlineStr">
        <is>
          <t>Site web</t>
        </is>
      </c>
      <c r="K38" t="inlineStr">
        <is>
          <t>Terminée</t>
        </is>
      </c>
    </row>
    <row r="39">
      <c r="A39" t="inlineStr">
        <is>
          <t>L-00038</t>
        </is>
      </c>
      <c r="B39" t="inlineStr">
        <is>
          <t>62268-B-1</t>
        </is>
      </c>
      <c r="C39" t="inlineStr">
        <is>
          <t>AB352833</t>
        </is>
      </c>
      <c r="D39" s="4" t="n">
        <v>340</v>
      </c>
      <c r="E39" s="5" t="n">
        <v>46208</v>
      </c>
      <c r="F39" s="5" t="n">
        <v>46213</v>
      </c>
      <c r="G39">
        <f>MAX(1,F39-E39)</f>
        <v/>
      </c>
      <c r="H39" s="4">
        <f>D39*G39</f>
        <v/>
      </c>
      <c r="I39">
        <f>IF(TODAY()&lt;E39,"À venir",IF(TODAY()&lt;F39,"En cours","Terminée"))</f>
        <v/>
      </c>
      <c r="J39" t="inlineStr">
        <is>
          <t>Comptoir</t>
        </is>
      </c>
      <c r="K39" t="inlineStr">
        <is>
          <t>Terminée</t>
        </is>
      </c>
    </row>
    <row r="40">
      <c r="A40" t="inlineStr">
        <is>
          <t>L-00039</t>
        </is>
      </c>
      <c r="B40" t="inlineStr">
        <is>
          <t>76545-W-1</t>
        </is>
      </c>
      <c r="C40" t="inlineStr">
        <is>
          <t>DA850793</t>
        </is>
      </c>
      <c r="D40" s="4" t="n">
        <v>710</v>
      </c>
      <c r="E40" s="5" t="n">
        <v>46208</v>
      </c>
      <c r="F40" s="5" t="n">
        <v>46215</v>
      </c>
      <c r="G40">
        <f>MAX(1,F40-E40)</f>
        <v/>
      </c>
      <c r="H40" s="4">
        <f>D40*G40</f>
        <v/>
      </c>
      <c r="I40">
        <f>IF(TODAY()&lt;E40,"À venir",IF(TODAY()&lt;F40,"En cours","Terminée"))</f>
        <v/>
      </c>
      <c r="J40" t="inlineStr">
        <is>
          <t>Facebook</t>
        </is>
      </c>
      <c r="K40" t="inlineStr">
        <is>
          <t>Terminée</t>
        </is>
      </c>
    </row>
    <row r="41">
      <c r="A41" t="inlineStr">
        <is>
          <t>L-00040</t>
        </is>
      </c>
      <c r="B41" t="inlineStr">
        <is>
          <t>76897-B-1</t>
        </is>
      </c>
      <c r="C41" t="inlineStr">
        <is>
          <t>AD523795</t>
        </is>
      </c>
      <c r="D41" s="4" t="n">
        <v>650</v>
      </c>
      <c r="E41" s="5" t="n">
        <v>46208</v>
      </c>
      <c r="F41" s="5" t="n">
        <v>46211</v>
      </c>
      <c r="G41">
        <f>MAX(1,F41-E41)</f>
        <v/>
      </c>
      <c r="H41" s="4">
        <f>D41*G41</f>
        <v/>
      </c>
      <c r="I41">
        <f>IF(TODAY()&lt;E41,"À venir",IF(TODAY()&lt;F41,"En cours","Terminée"))</f>
        <v/>
      </c>
      <c r="J41" t="inlineStr">
        <is>
          <t>Comptoir</t>
        </is>
      </c>
      <c r="K41" t="inlineStr">
        <is>
          <t>Terminée</t>
        </is>
      </c>
    </row>
    <row r="42">
      <c r="A42" t="inlineStr">
        <is>
          <t>L-00041</t>
        </is>
      </c>
      <c r="B42" t="inlineStr">
        <is>
          <t>85684-A-1</t>
        </is>
      </c>
      <c r="C42" t="inlineStr">
        <is>
          <t>AA411366</t>
        </is>
      </c>
      <c r="D42" s="4" t="n">
        <v>260</v>
      </c>
      <c r="E42" s="5" t="n">
        <v>46208</v>
      </c>
      <c r="F42" s="5" t="n">
        <v>46218</v>
      </c>
      <c r="G42">
        <f>MAX(1,F42-E42)</f>
        <v/>
      </c>
      <c r="H42" s="4">
        <f>D42*G42</f>
        <v/>
      </c>
      <c r="I42">
        <f>IF(TODAY()&lt;E42,"À venir",IF(TODAY()&lt;F42,"En cours","Terminée"))</f>
        <v/>
      </c>
      <c r="J42" t="inlineStr">
        <is>
          <t>WhatsApp</t>
        </is>
      </c>
      <c r="K42" t="inlineStr">
        <is>
          <t>Terminée</t>
        </is>
      </c>
    </row>
    <row r="43">
      <c r="A43" t="inlineStr">
        <is>
          <t>L-00042</t>
        </is>
      </c>
      <c r="B43" t="inlineStr">
        <is>
          <t>96667-D-1</t>
        </is>
      </c>
      <c r="C43" t="inlineStr">
        <is>
          <t>A7732341</t>
        </is>
      </c>
      <c r="D43" s="4" t="n">
        <v>960</v>
      </c>
      <c r="E43" s="5" t="n">
        <v>46208</v>
      </c>
      <c r="F43" s="5" t="n">
        <v>46211</v>
      </c>
      <c r="G43">
        <f>MAX(1,F43-E43)</f>
        <v/>
      </c>
      <c r="H43" s="4">
        <f>D43*G43</f>
        <v/>
      </c>
      <c r="I43">
        <f>IF(TODAY()&lt;E43,"À venir",IF(TODAY()&lt;F43,"En cours","Terminée"))</f>
        <v/>
      </c>
      <c r="J43" t="inlineStr">
        <is>
          <t>Facebook</t>
        </is>
      </c>
      <c r="K43" t="inlineStr">
        <is>
          <t>Terminée</t>
        </is>
      </c>
    </row>
    <row r="44">
      <c r="A44" t="inlineStr">
        <is>
          <t>L-00043</t>
        </is>
      </c>
      <c r="B44" t="inlineStr">
        <is>
          <t>47649-D-1</t>
        </is>
      </c>
      <c r="C44" t="inlineStr">
        <is>
          <t>CD836465</t>
        </is>
      </c>
      <c r="D44" s="4" t="n">
        <v>330</v>
      </c>
      <c r="E44" s="5" t="n">
        <v>46210</v>
      </c>
      <c r="F44" s="5" t="n">
        <v>46213</v>
      </c>
      <c r="G44">
        <f>MAX(1,F44-E44)</f>
        <v/>
      </c>
      <c r="H44" s="4">
        <f>D44*G44</f>
        <v/>
      </c>
      <c r="I44">
        <f>IF(TODAY()&lt;E44,"À venir",IF(TODAY()&lt;F44,"En cours","Terminée"))</f>
        <v/>
      </c>
      <c r="J44" t="inlineStr">
        <is>
          <t>WhatsApp</t>
        </is>
      </c>
      <c r="K44" t="inlineStr">
        <is>
          <t>Terminée</t>
        </is>
      </c>
    </row>
    <row r="45">
      <c r="A45" t="inlineStr">
        <is>
          <t>L-00044</t>
        </is>
      </c>
      <c r="B45" t="inlineStr">
        <is>
          <t>81442-B-1</t>
        </is>
      </c>
      <c r="C45" t="inlineStr">
        <is>
          <t>BE418225</t>
        </is>
      </c>
      <c r="D45" s="4" t="n">
        <v>450</v>
      </c>
      <c r="E45" s="5" t="n">
        <v>46210</v>
      </c>
      <c r="F45" s="5" t="n">
        <v>46217</v>
      </c>
      <c r="G45">
        <f>MAX(1,F45-E45)</f>
        <v/>
      </c>
      <c r="H45" s="4">
        <f>D45*G45</f>
        <v/>
      </c>
      <c r="I45">
        <f>IF(TODAY()&lt;E45,"À venir",IF(TODAY()&lt;F45,"En cours","Terminée"))</f>
        <v/>
      </c>
      <c r="J45" t="inlineStr">
        <is>
          <t>WhatsApp</t>
        </is>
      </c>
      <c r="K45" t="inlineStr">
        <is>
          <t>Terminée</t>
        </is>
      </c>
    </row>
    <row r="46">
      <c r="A46" t="inlineStr">
        <is>
          <t>L-00045</t>
        </is>
      </c>
      <c r="B46" t="inlineStr">
        <is>
          <t>88664-D-1</t>
        </is>
      </c>
      <c r="C46" t="inlineStr">
        <is>
          <t>A4430872</t>
        </is>
      </c>
      <c r="D46" s="4" t="n">
        <v>360</v>
      </c>
      <c r="E46" s="5" t="n">
        <v>46210</v>
      </c>
      <c r="F46" s="5" t="n">
        <v>46213</v>
      </c>
      <c r="G46">
        <f>MAX(1,F46-E46)</f>
        <v/>
      </c>
      <c r="H46" s="4">
        <f>D46*G46</f>
        <v/>
      </c>
      <c r="I46">
        <f>IF(TODAY()&lt;E46,"À venir",IF(TODAY()&lt;F46,"En cours","Terminée"))</f>
        <v/>
      </c>
      <c r="J46" t="inlineStr">
        <is>
          <t>Téléphone</t>
        </is>
      </c>
      <c r="K46" t="inlineStr">
        <is>
          <t>Terminée</t>
        </is>
      </c>
    </row>
    <row r="47">
      <c r="A47" t="inlineStr">
        <is>
          <t>L-00046</t>
        </is>
      </c>
      <c r="B47" t="inlineStr">
        <is>
          <t>95936-H-1</t>
        </is>
      </c>
      <c r="C47" t="inlineStr">
        <is>
          <t>CD232629</t>
        </is>
      </c>
      <c r="D47" s="4" t="n">
        <v>490</v>
      </c>
      <c r="E47" s="5" t="n">
        <v>46210</v>
      </c>
      <c r="F47" s="5" t="n">
        <v>46212</v>
      </c>
      <c r="G47">
        <f>MAX(1,F47-E47)</f>
        <v/>
      </c>
      <c r="H47" s="4">
        <f>D47*G47</f>
        <v/>
      </c>
      <c r="I47">
        <f>IF(TODAY()&lt;E47,"À venir",IF(TODAY()&lt;F47,"En cours","Terminée"))</f>
        <v/>
      </c>
      <c r="J47" t="inlineStr">
        <is>
          <t>WhatsApp</t>
        </is>
      </c>
      <c r="K47" t="inlineStr">
        <is>
          <t>Terminée</t>
        </is>
      </c>
    </row>
    <row r="48">
      <c r="A48" t="inlineStr">
        <is>
          <t>L-00047</t>
        </is>
      </c>
      <c r="B48" t="inlineStr">
        <is>
          <t>97018-A-1</t>
        </is>
      </c>
      <c r="C48" t="inlineStr">
        <is>
          <t>CD298236</t>
        </is>
      </c>
      <c r="D48" s="4" t="n">
        <v>450</v>
      </c>
      <c r="E48" s="5" t="n">
        <v>46210</v>
      </c>
      <c r="F48" s="5" t="n">
        <v>46215</v>
      </c>
      <c r="G48">
        <f>MAX(1,F48-E48)</f>
        <v/>
      </c>
      <c r="H48" s="4">
        <f>D48*G48</f>
        <v/>
      </c>
      <c r="I48">
        <f>IF(TODAY()&lt;E48,"À venir",IF(TODAY()&lt;F48,"En cours","Terminée"))</f>
        <v/>
      </c>
      <c r="J48" t="inlineStr">
        <is>
          <t>Facebook</t>
        </is>
      </c>
      <c r="K48" t="inlineStr">
        <is>
          <t>Terminée</t>
        </is>
      </c>
    </row>
    <row r="49">
      <c r="A49" t="inlineStr">
        <is>
          <t>L-00048</t>
        </is>
      </c>
      <c r="B49" t="inlineStr">
        <is>
          <t>22080-H-1</t>
        </is>
      </c>
      <c r="C49" t="inlineStr">
        <is>
          <t>G7030384</t>
        </is>
      </c>
      <c r="D49" s="4" t="n">
        <v>340</v>
      </c>
      <c r="E49" s="5" t="n">
        <v>46211</v>
      </c>
      <c r="F49" s="5" t="n">
        <v>46216</v>
      </c>
      <c r="G49">
        <f>MAX(1,F49-E49)</f>
        <v/>
      </c>
      <c r="H49" s="4">
        <f>D49*G49</f>
        <v/>
      </c>
      <c r="I49">
        <f>IF(TODAY()&lt;E49,"À venir",IF(TODAY()&lt;F49,"En cours","Terminée"))</f>
        <v/>
      </c>
      <c r="J49" t="inlineStr">
        <is>
          <t>Comptoir</t>
        </is>
      </c>
      <c r="K49" t="inlineStr">
        <is>
          <t>Terminée</t>
        </is>
      </c>
    </row>
    <row r="50">
      <c r="A50" t="inlineStr">
        <is>
          <t>L-00049</t>
        </is>
      </c>
      <c r="B50" t="inlineStr">
        <is>
          <t>22394-A-1</t>
        </is>
      </c>
      <c r="C50" t="inlineStr">
        <is>
          <t>IT1637716</t>
        </is>
      </c>
      <c r="D50" s="4" t="n">
        <v>370</v>
      </c>
      <c r="E50" s="5" t="n">
        <v>46211</v>
      </c>
      <c r="F50" s="5" t="n">
        <v>46225</v>
      </c>
      <c r="G50">
        <f>MAX(1,F50-E50)</f>
        <v/>
      </c>
      <c r="H50" s="4">
        <f>D50*G50</f>
        <v/>
      </c>
      <c r="I50">
        <f>IF(TODAY()&lt;E50,"À venir",IF(TODAY()&lt;F50,"En cours","Terminée"))</f>
        <v/>
      </c>
      <c r="J50" t="inlineStr">
        <is>
          <t>Téléphone</t>
        </is>
      </c>
      <c r="K50" t="inlineStr">
        <is>
          <t>Terminée</t>
        </is>
      </c>
    </row>
    <row r="51">
      <c r="A51" t="inlineStr">
        <is>
          <t>L-00050</t>
        </is>
      </c>
      <c r="B51" t="inlineStr">
        <is>
          <t>36193-W-1</t>
        </is>
      </c>
      <c r="C51" t="inlineStr">
        <is>
          <t>DA532628</t>
        </is>
      </c>
      <c r="D51" s="4" t="n">
        <v>450</v>
      </c>
      <c r="E51" s="5" t="n">
        <v>46211</v>
      </c>
      <c r="F51" s="5" t="n">
        <v>46218</v>
      </c>
      <c r="G51">
        <f>MAX(1,F51-E51)</f>
        <v/>
      </c>
      <c r="H51" s="4">
        <f>D51*G51</f>
        <v/>
      </c>
      <c r="I51">
        <f>IF(TODAY()&lt;E51,"À venir",IF(TODAY()&lt;F51,"En cours","Terminée"))</f>
        <v/>
      </c>
      <c r="J51" t="inlineStr">
        <is>
          <t>Booking.com</t>
        </is>
      </c>
      <c r="K51" t="inlineStr">
        <is>
          <t>Terminée</t>
        </is>
      </c>
    </row>
    <row r="52">
      <c r="A52" t="inlineStr">
        <is>
          <t>L-00051</t>
        </is>
      </c>
      <c r="B52" t="inlineStr">
        <is>
          <t>69873-A-1</t>
        </is>
      </c>
      <c r="C52" t="inlineStr">
        <is>
          <t>DA794435</t>
        </is>
      </c>
      <c r="D52" s="4" t="n">
        <v>340</v>
      </c>
      <c r="E52" s="5" t="n">
        <v>46211</v>
      </c>
      <c r="F52" s="5" t="n">
        <v>46232</v>
      </c>
      <c r="G52">
        <f>MAX(1,F52-E52)</f>
        <v/>
      </c>
      <c r="H52" s="4">
        <f>D52*G52</f>
        <v/>
      </c>
      <c r="I52">
        <f>IF(TODAY()&lt;E52,"À venir",IF(TODAY()&lt;F52,"En cours","Terminée"))</f>
        <v/>
      </c>
      <c r="J52" t="inlineStr">
        <is>
          <t>Téléphone</t>
        </is>
      </c>
      <c r="K52" t="inlineStr">
        <is>
          <t>Terminée</t>
        </is>
      </c>
    </row>
    <row r="53">
      <c r="A53" t="inlineStr">
        <is>
          <t>L-00052</t>
        </is>
      </c>
      <c r="B53" t="inlineStr">
        <is>
          <t>71994-D-1</t>
        </is>
      </c>
      <c r="C53" t="inlineStr">
        <is>
          <t>EE211678</t>
        </is>
      </c>
      <c r="D53" s="4" t="n">
        <v>710</v>
      </c>
      <c r="E53" s="5" t="n">
        <v>46211</v>
      </c>
      <c r="F53" s="5" t="n">
        <v>46214</v>
      </c>
      <c r="G53">
        <f>MAX(1,F53-E53)</f>
        <v/>
      </c>
      <c r="H53" s="4">
        <f>D53*G53</f>
        <v/>
      </c>
      <c r="I53">
        <f>IF(TODAY()&lt;E53,"À venir",IF(TODAY()&lt;F53,"En cours","Terminée"))</f>
        <v/>
      </c>
      <c r="J53" t="inlineStr">
        <is>
          <t>Facebook</t>
        </is>
      </c>
      <c r="K53" t="inlineStr">
        <is>
          <t>Terminée</t>
        </is>
      </c>
    </row>
    <row r="54">
      <c r="A54" t="inlineStr">
        <is>
          <t>L-00053</t>
        </is>
      </c>
      <c r="B54" t="inlineStr">
        <is>
          <t>21066-H-1</t>
        </is>
      </c>
      <c r="C54" t="inlineStr">
        <is>
          <t>CD761106</t>
        </is>
      </c>
      <c r="D54" s="4" t="n">
        <v>650</v>
      </c>
      <c r="E54" s="5" t="n">
        <v>46212</v>
      </c>
      <c r="F54" s="5" t="n">
        <v>46215</v>
      </c>
      <c r="G54">
        <f>MAX(1,F54-E54)</f>
        <v/>
      </c>
      <c r="H54" s="4">
        <f>D54*G54</f>
        <v/>
      </c>
      <c r="I54">
        <f>IF(TODAY()&lt;E54,"À venir",IF(TODAY()&lt;F54,"En cours","Terminée"))</f>
        <v/>
      </c>
      <c r="J54" t="inlineStr">
        <is>
          <t>WhatsApp</t>
        </is>
      </c>
      <c r="K54" t="inlineStr">
        <is>
          <t>Terminée</t>
        </is>
      </c>
    </row>
    <row r="55">
      <c r="A55" t="inlineStr">
        <is>
          <t>L-00054</t>
        </is>
      </c>
      <c r="B55" t="inlineStr">
        <is>
          <t>33992-B-1</t>
        </is>
      </c>
      <c r="C55" t="inlineStr">
        <is>
          <t>EE739953</t>
        </is>
      </c>
      <c r="D55" s="4" t="n">
        <v>510</v>
      </c>
      <c r="E55" s="5" t="n">
        <v>46212</v>
      </c>
      <c r="F55" s="5" t="n">
        <v>46215</v>
      </c>
      <c r="G55">
        <f>MAX(1,F55-E55)</f>
        <v/>
      </c>
      <c r="H55" s="4">
        <f>D55*G55</f>
        <v/>
      </c>
      <c r="I55">
        <f>IF(TODAY()&lt;E55,"À venir",IF(TODAY()&lt;F55,"En cours","Terminée"))</f>
        <v/>
      </c>
      <c r="J55" t="inlineStr">
        <is>
          <t>WhatsApp</t>
        </is>
      </c>
      <c r="K55" t="inlineStr">
        <is>
          <t>Terminée</t>
        </is>
      </c>
    </row>
    <row r="56">
      <c r="A56" t="inlineStr">
        <is>
          <t>L-00055</t>
        </is>
      </c>
      <c r="B56" t="inlineStr">
        <is>
          <t>35623-W-1</t>
        </is>
      </c>
      <c r="C56" t="inlineStr">
        <is>
          <t>DA621970</t>
        </is>
      </c>
      <c r="D56" s="4" t="n">
        <v>1470</v>
      </c>
      <c r="E56" s="5" t="n">
        <v>46212</v>
      </c>
      <c r="F56" s="5" t="n">
        <v>46215</v>
      </c>
      <c r="G56">
        <f>MAX(1,F56-E56)</f>
        <v/>
      </c>
      <c r="H56" s="4">
        <f>D56*G56</f>
        <v/>
      </c>
      <c r="I56">
        <f>IF(TODAY()&lt;E56,"À venir",IF(TODAY()&lt;F56,"En cours","Terminée"))</f>
        <v/>
      </c>
      <c r="J56" t="inlineStr">
        <is>
          <t>Comptoir</t>
        </is>
      </c>
      <c r="K56" t="inlineStr">
        <is>
          <t>Terminée</t>
        </is>
      </c>
    </row>
    <row r="57">
      <c r="A57" t="inlineStr">
        <is>
          <t>L-00056</t>
        </is>
      </c>
      <c r="B57" t="inlineStr">
        <is>
          <t>49965-H-1</t>
        </is>
      </c>
      <c r="C57" t="inlineStr">
        <is>
          <t>AB590499</t>
        </is>
      </c>
      <c r="D57" s="4" t="n">
        <v>1050</v>
      </c>
      <c r="E57" s="5" t="n">
        <v>46212</v>
      </c>
      <c r="F57" s="5" t="n">
        <v>46226</v>
      </c>
      <c r="G57">
        <f>MAX(1,F57-E57)</f>
        <v/>
      </c>
      <c r="H57" s="4">
        <f>D57*G57</f>
        <v/>
      </c>
      <c r="I57">
        <f>IF(TODAY()&lt;E57,"À venir",IF(TODAY()&lt;F57,"En cours","Terminée"))</f>
        <v/>
      </c>
      <c r="J57" t="inlineStr">
        <is>
          <t>Comptoir</t>
        </is>
      </c>
      <c r="K57" t="inlineStr">
        <is>
          <t>Terminée</t>
        </is>
      </c>
    </row>
    <row r="58">
      <c r="A58" t="inlineStr">
        <is>
          <t>L-00057</t>
        </is>
      </c>
      <c r="B58" t="inlineStr">
        <is>
          <t>62064-H-1</t>
        </is>
      </c>
      <c r="C58" t="inlineStr">
        <is>
          <t>G7873623</t>
        </is>
      </c>
      <c r="D58" s="4" t="n">
        <v>350</v>
      </c>
      <c r="E58" s="5" t="n">
        <v>46212</v>
      </c>
      <c r="F58" s="5" t="n">
        <v>46216</v>
      </c>
      <c r="G58">
        <f>MAX(1,F58-E58)</f>
        <v/>
      </c>
      <c r="H58" s="4">
        <f>D58*G58</f>
        <v/>
      </c>
      <c r="I58">
        <f>IF(TODAY()&lt;E58,"À venir",IF(TODAY()&lt;F58,"En cours","Terminée"))</f>
        <v/>
      </c>
      <c r="J58" t="inlineStr">
        <is>
          <t>WhatsApp</t>
        </is>
      </c>
      <c r="K58" t="inlineStr">
        <is>
          <t>Terminée</t>
        </is>
      </c>
    </row>
    <row r="59">
      <c r="A59" t="inlineStr">
        <is>
          <t>L-00058</t>
        </is>
      </c>
      <c r="B59" t="inlineStr">
        <is>
          <t>69221-A-1</t>
        </is>
      </c>
      <c r="C59" t="inlineStr">
        <is>
          <t>XK2924569</t>
        </is>
      </c>
      <c r="D59" s="4" t="n">
        <v>1390</v>
      </c>
      <c r="E59" s="5" t="n">
        <v>46212</v>
      </c>
      <c r="F59" s="5" t="n">
        <v>46217</v>
      </c>
      <c r="G59">
        <f>MAX(1,F59-E59)</f>
        <v/>
      </c>
      <c r="H59" s="4">
        <f>D59*G59</f>
        <v/>
      </c>
      <c r="I59">
        <f>IF(TODAY()&lt;E59,"À venir",IF(TODAY()&lt;F59,"En cours","Terminée"))</f>
        <v/>
      </c>
      <c r="J59" t="inlineStr">
        <is>
          <t>WhatsApp</t>
        </is>
      </c>
      <c r="K59" t="inlineStr">
        <is>
          <t>Terminée</t>
        </is>
      </c>
    </row>
    <row r="60">
      <c r="A60" t="inlineStr">
        <is>
          <t>L-00059</t>
        </is>
      </c>
      <c r="B60" t="inlineStr">
        <is>
          <t>74343-B-1</t>
        </is>
      </c>
      <c r="C60" t="inlineStr">
        <is>
          <t>DA377046</t>
        </is>
      </c>
      <c r="D60" s="4" t="n">
        <v>280</v>
      </c>
      <c r="E60" s="5" t="n">
        <v>46212</v>
      </c>
      <c r="F60" s="5" t="n">
        <v>46217</v>
      </c>
      <c r="G60">
        <f>MAX(1,F60-E60)</f>
        <v/>
      </c>
      <c r="H60" s="4">
        <f>D60*G60</f>
        <v/>
      </c>
      <c r="I60">
        <f>IF(TODAY()&lt;E60,"À venir",IF(TODAY()&lt;F60,"En cours","Terminée"))</f>
        <v/>
      </c>
      <c r="J60" t="inlineStr">
        <is>
          <t>Facebook</t>
        </is>
      </c>
      <c r="K60" t="inlineStr">
        <is>
          <t>Terminée</t>
        </is>
      </c>
    </row>
    <row r="61">
      <c r="A61" t="inlineStr">
        <is>
          <t>L-00060</t>
        </is>
      </c>
      <c r="B61" t="inlineStr">
        <is>
          <t>75329-D-1</t>
        </is>
      </c>
      <c r="C61" t="inlineStr">
        <is>
          <t>CD814227</t>
        </is>
      </c>
      <c r="D61" s="4" t="n">
        <v>550</v>
      </c>
      <c r="E61" s="5" t="n">
        <v>46212</v>
      </c>
      <c r="F61" s="5" t="n">
        <v>46214</v>
      </c>
      <c r="G61">
        <f>MAX(1,F61-E61)</f>
        <v/>
      </c>
      <c r="H61" s="4">
        <f>D61*G61</f>
        <v/>
      </c>
      <c r="I61">
        <f>IF(TODAY()&lt;E61,"À venir",IF(TODAY()&lt;F61,"En cours","Terminée"))</f>
        <v/>
      </c>
      <c r="J61" t="inlineStr">
        <is>
          <t>Comptoir</t>
        </is>
      </c>
      <c r="K61" t="inlineStr">
        <is>
          <t>Terminée</t>
        </is>
      </c>
    </row>
    <row r="62">
      <c r="A62" t="inlineStr">
        <is>
          <t>L-00061</t>
        </is>
      </c>
      <c r="B62" t="inlineStr">
        <is>
          <t>76897-B-1</t>
        </is>
      </c>
      <c r="C62" t="inlineStr">
        <is>
          <t>AE428361</t>
        </is>
      </c>
      <c r="D62" s="4" t="n">
        <v>620</v>
      </c>
      <c r="E62" s="5" t="n">
        <v>46212</v>
      </c>
      <c r="F62" s="5" t="n">
        <v>46215</v>
      </c>
      <c r="G62">
        <f>MAX(1,F62-E62)</f>
        <v/>
      </c>
      <c r="H62" s="4">
        <f>D62*G62</f>
        <v/>
      </c>
      <c r="I62">
        <f>IF(TODAY()&lt;E62,"À venir",IF(TODAY()&lt;F62,"En cours","Terminée"))</f>
        <v/>
      </c>
      <c r="J62" t="inlineStr">
        <is>
          <t>Téléphone</t>
        </is>
      </c>
      <c r="K62" t="inlineStr">
        <is>
          <t>Terminée</t>
        </is>
      </c>
    </row>
    <row r="63">
      <c r="A63" t="inlineStr">
        <is>
          <t>L-00062</t>
        </is>
      </c>
      <c r="B63" t="inlineStr">
        <is>
          <t>84923-D-1</t>
        </is>
      </c>
      <c r="C63" t="inlineStr">
        <is>
          <t>BE789842</t>
        </is>
      </c>
      <c r="D63" s="4" t="n">
        <v>690</v>
      </c>
      <c r="E63" s="5" t="n">
        <v>46212</v>
      </c>
      <c r="F63" s="5" t="n">
        <v>46214</v>
      </c>
      <c r="G63">
        <f>MAX(1,F63-E63)</f>
        <v/>
      </c>
      <c r="H63" s="4">
        <f>D63*G63</f>
        <v/>
      </c>
      <c r="I63">
        <f>IF(TODAY()&lt;E63,"À venir",IF(TODAY()&lt;F63,"En cours","Terminée"))</f>
        <v/>
      </c>
      <c r="J63" t="inlineStr">
        <is>
          <t>Téléphone</t>
        </is>
      </c>
      <c r="K63" t="inlineStr">
        <is>
          <t>Terminée</t>
        </is>
      </c>
    </row>
    <row r="64">
      <c r="A64" t="inlineStr">
        <is>
          <t>L-00063</t>
        </is>
      </c>
      <c r="B64" t="inlineStr">
        <is>
          <t>85272-B-1</t>
        </is>
      </c>
      <c r="C64" t="inlineStr">
        <is>
          <t>AA777952</t>
        </is>
      </c>
      <c r="D64" s="4" t="n">
        <v>560</v>
      </c>
      <c r="E64" s="5" t="n">
        <v>46212</v>
      </c>
      <c r="F64" s="5" t="n">
        <v>46215</v>
      </c>
      <c r="G64">
        <f>MAX(1,F64-E64)</f>
        <v/>
      </c>
      <c r="H64" s="4">
        <f>D64*G64</f>
        <v/>
      </c>
      <c r="I64">
        <f>IF(TODAY()&lt;E64,"À venir",IF(TODAY()&lt;F64,"En cours","Terminée"))</f>
        <v/>
      </c>
      <c r="J64" t="inlineStr">
        <is>
          <t>Téléphone</t>
        </is>
      </c>
      <c r="K64" t="inlineStr">
        <is>
          <t>Terminée</t>
        </is>
      </c>
    </row>
    <row r="65">
      <c r="A65" t="inlineStr">
        <is>
          <t>L-00064</t>
        </is>
      </c>
      <c r="B65" t="inlineStr">
        <is>
          <t>91702-H-1</t>
        </is>
      </c>
      <c r="C65" t="inlineStr">
        <is>
          <t>EE613807</t>
        </is>
      </c>
      <c r="D65" s="4" t="n">
        <v>930</v>
      </c>
      <c r="E65" s="5" t="n">
        <v>46212</v>
      </c>
      <c r="F65" s="5" t="n">
        <v>46226</v>
      </c>
      <c r="G65">
        <f>MAX(1,F65-E65)</f>
        <v/>
      </c>
      <c r="H65" s="4">
        <f>D65*G65</f>
        <v/>
      </c>
      <c r="I65">
        <f>IF(TODAY()&lt;E65,"À venir",IF(TODAY()&lt;F65,"En cours","Terminée"))</f>
        <v/>
      </c>
      <c r="J65" t="inlineStr">
        <is>
          <t>WhatsApp</t>
        </is>
      </c>
      <c r="K65" t="inlineStr">
        <is>
          <t>Terminée</t>
        </is>
      </c>
    </row>
    <row r="66">
      <c r="A66" t="inlineStr">
        <is>
          <t>L-00065</t>
        </is>
      </c>
      <c r="B66" t="inlineStr">
        <is>
          <t>96667-D-1</t>
        </is>
      </c>
      <c r="C66" t="inlineStr">
        <is>
          <t>AB590499</t>
        </is>
      </c>
      <c r="D66" s="4" t="n">
        <v>1020</v>
      </c>
      <c r="E66" s="5" t="n">
        <v>46212</v>
      </c>
      <c r="F66" s="5" t="n">
        <v>46215</v>
      </c>
      <c r="G66">
        <f>MAX(1,F66-E66)</f>
        <v/>
      </c>
      <c r="H66" s="4">
        <f>D66*G66</f>
        <v/>
      </c>
      <c r="I66">
        <f>IF(TODAY()&lt;E66,"À venir",IF(TODAY()&lt;F66,"En cours","Terminée"))</f>
        <v/>
      </c>
      <c r="J66" t="inlineStr">
        <is>
          <t>Téléphone</t>
        </is>
      </c>
      <c r="K66" t="inlineStr">
        <is>
          <t>Terminée</t>
        </is>
      </c>
    </row>
    <row r="67">
      <c r="A67" t="inlineStr">
        <is>
          <t>L-00066</t>
        </is>
      </c>
      <c r="B67" t="inlineStr">
        <is>
          <t>97618-A-1</t>
        </is>
      </c>
      <c r="C67" t="inlineStr">
        <is>
          <t>PA5242299</t>
        </is>
      </c>
      <c r="D67" s="4" t="n">
        <v>480</v>
      </c>
      <c r="E67" s="5" t="n">
        <v>46212</v>
      </c>
      <c r="F67" s="5" t="n">
        <v>46217</v>
      </c>
      <c r="G67">
        <f>MAX(1,F67-E67)</f>
        <v/>
      </c>
      <c r="H67" s="4">
        <f>D67*G67</f>
        <v/>
      </c>
      <c r="I67">
        <f>IF(TODAY()&lt;E67,"À venir",IF(TODAY()&lt;F67,"En cours","Terminée"))</f>
        <v/>
      </c>
      <c r="J67" t="inlineStr">
        <is>
          <t>WhatsApp</t>
        </is>
      </c>
      <c r="K67" t="inlineStr">
        <is>
          <t>Terminée</t>
        </is>
      </c>
    </row>
    <row r="68">
      <c r="A68" t="inlineStr">
        <is>
          <t>L-00067</t>
        </is>
      </c>
      <c r="B68" t="inlineStr">
        <is>
          <t>25835-W-1</t>
        </is>
      </c>
      <c r="C68" t="inlineStr">
        <is>
          <t>AE442098</t>
        </is>
      </c>
      <c r="D68" s="4" t="n">
        <v>580</v>
      </c>
      <c r="E68" s="5" t="n">
        <v>46213</v>
      </c>
      <c r="F68" s="5" t="n">
        <v>46215</v>
      </c>
      <c r="G68">
        <f>MAX(1,F68-E68)</f>
        <v/>
      </c>
      <c r="H68" s="4">
        <f>D68*G68</f>
        <v/>
      </c>
      <c r="I68">
        <f>IF(TODAY()&lt;E68,"À venir",IF(TODAY()&lt;F68,"En cours","Terminée"))</f>
        <v/>
      </c>
      <c r="J68" t="inlineStr">
        <is>
          <t>WhatsApp</t>
        </is>
      </c>
      <c r="K68" t="inlineStr">
        <is>
          <t>Terminée</t>
        </is>
      </c>
    </row>
    <row r="69">
      <c r="A69" t="inlineStr">
        <is>
          <t>L-00068</t>
        </is>
      </c>
      <c r="B69" t="inlineStr">
        <is>
          <t>83373-B-1</t>
        </is>
      </c>
      <c r="C69" t="inlineStr">
        <is>
          <t>G9274426</t>
        </is>
      </c>
      <c r="D69" s="4" t="n">
        <v>330</v>
      </c>
      <c r="E69" s="5" t="n">
        <v>46213</v>
      </c>
      <c r="F69" s="5" t="n">
        <v>46216</v>
      </c>
      <c r="G69">
        <f>MAX(1,F69-E69)</f>
        <v/>
      </c>
      <c r="H69" s="4">
        <f>D69*G69</f>
        <v/>
      </c>
      <c r="I69">
        <f>IF(TODAY()&lt;E69,"À venir",IF(TODAY()&lt;F69,"En cours","Terminée"))</f>
        <v/>
      </c>
      <c r="J69" t="inlineStr">
        <is>
          <t>Comptoir</t>
        </is>
      </c>
      <c r="K69" t="inlineStr">
        <is>
          <t>Terminée</t>
        </is>
      </c>
    </row>
    <row r="70">
      <c r="A70" t="inlineStr">
        <is>
          <t>L-00069</t>
        </is>
      </c>
      <c r="B70" t="inlineStr">
        <is>
          <t>83662-D-1</t>
        </is>
      </c>
      <c r="C70" t="inlineStr">
        <is>
          <t>G8958792</t>
        </is>
      </c>
      <c r="D70" s="4" t="n">
        <v>430</v>
      </c>
      <c r="E70" s="5" t="n">
        <v>46213</v>
      </c>
      <c r="F70" s="5" t="n">
        <v>46220</v>
      </c>
      <c r="G70">
        <f>MAX(1,F70-E70)</f>
        <v/>
      </c>
      <c r="H70" s="4">
        <f>D70*G70</f>
        <v/>
      </c>
      <c r="I70">
        <f>IF(TODAY()&lt;E70,"À venir",IF(TODAY()&lt;F70,"En cours","Terminée"))</f>
        <v/>
      </c>
      <c r="J70" t="inlineStr">
        <is>
          <t>WhatsApp</t>
        </is>
      </c>
      <c r="K70" t="inlineStr">
        <is>
          <t>Terminée</t>
        </is>
      </c>
    </row>
    <row r="71">
      <c r="A71" t="inlineStr">
        <is>
          <t>L-00070</t>
        </is>
      </c>
      <c r="B71" t="inlineStr">
        <is>
          <t>91567-W-1</t>
        </is>
      </c>
      <c r="C71" t="inlineStr">
        <is>
          <t>A7732341</t>
        </is>
      </c>
      <c r="D71" s="4" t="n">
        <v>220</v>
      </c>
      <c r="E71" s="5" t="n">
        <v>46213</v>
      </c>
      <c r="F71" s="5" t="n">
        <v>46220</v>
      </c>
      <c r="G71">
        <f>MAX(1,F71-E71)</f>
        <v/>
      </c>
      <c r="H71" s="4">
        <f>D71*G71</f>
        <v/>
      </c>
      <c r="I71">
        <f>IF(TODAY()&lt;E71,"À venir",IF(TODAY()&lt;F71,"En cours","Terminée"))</f>
        <v/>
      </c>
      <c r="J71" t="inlineStr">
        <is>
          <t>WhatsApp</t>
        </is>
      </c>
      <c r="K71" t="inlineStr">
        <is>
          <t>Terminée</t>
        </is>
      </c>
    </row>
    <row r="72">
      <c r="A72" t="inlineStr">
        <is>
          <t>L-00071</t>
        </is>
      </c>
      <c r="B72" t="inlineStr">
        <is>
          <t>95936-H-1</t>
        </is>
      </c>
      <c r="C72" t="inlineStr">
        <is>
          <t>EE601342</t>
        </is>
      </c>
      <c r="D72" s="4" t="n">
        <v>420</v>
      </c>
      <c r="E72" s="5" t="n">
        <v>46213</v>
      </c>
      <c r="F72" s="5" t="n">
        <v>46223</v>
      </c>
      <c r="G72">
        <f>MAX(1,F72-E72)</f>
        <v/>
      </c>
      <c r="H72" s="4">
        <f>D72*G72</f>
        <v/>
      </c>
      <c r="I72">
        <f>IF(TODAY()&lt;E72,"À venir",IF(TODAY()&lt;F72,"En cours","Terminée"))</f>
        <v/>
      </c>
      <c r="J72" t="inlineStr">
        <is>
          <t>WhatsApp</t>
        </is>
      </c>
      <c r="K72" t="inlineStr">
        <is>
          <t>Terminée</t>
        </is>
      </c>
    </row>
    <row r="73">
      <c r="A73" t="inlineStr">
        <is>
          <t>L-00072</t>
        </is>
      </c>
      <c r="B73" t="inlineStr">
        <is>
          <t>47649-D-1</t>
        </is>
      </c>
      <c r="C73" t="inlineStr">
        <is>
          <t>FR8898392</t>
        </is>
      </c>
      <c r="D73" s="4" t="n">
        <v>280</v>
      </c>
      <c r="E73" s="5" t="n">
        <v>46214</v>
      </c>
      <c r="F73" s="5" t="n">
        <v>46228</v>
      </c>
      <c r="G73">
        <f>MAX(1,F73-E73)</f>
        <v/>
      </c>
      <c r="H73" s="4">
        <f>D73*G73</f>
        <v/>
      </c>
      <c r="I73">
        <f>IF(TODAY()&lt;E73,"À venir",IF(TODAY()&lt;F73,"En cours","Terminée"))</f>
        <v/>
      </c>
      <c r="J73" t="inlineStr">
        <is>
          <t>Facebook</t>
        </is>
      </c>
      <c r="K73" t="inlineStr">
        <is>
          <t>Terminée</t>
        </is>
      </c>
    </row>
    <row r="74">
      <c r="A74" t="inlineStr">
        <is>
          <t>L-00073</t>
        </is>
      </c>
      <c r="B74" t="inlineStr">
        <is>
          <t>62268-B-1</t>
        </is>
      </c>
      <c r="C74" t="inlineStr">
        <is>
          <t>PA7788001</t>
        </is>
      </c>
      <c r="D74" s="4" t="n">
        <v>290</v>
      </c>
      <c r="E74" s="5" t="n">
        <v>46214</v>
      </c>
      <c r="F74" s="5" t="n">
        <v>46221</v>
      </c>
      <c r="G74">
        <f>MAX(1,F74-E74)</f>
        <v/>
      </c>
      <c r="H74" s="4">
        <f>D74*G74</f>
        <v/>
      </c>
      <c r="I74">
        <f>IF(TODAY()&lt;E74,"À venir",IF(TODAY()&lt;F74,"En cours","Terminée"))</f>
        <v/>
      </c>
      <c r="J74" t="inlineStr">
        <is>
          <t>WhatsApp</t>
        </is>
      </c>
      <c r="K74" t="inlineStr">
        <is>
          <t>Terminée</t>
        </is>
      </c>
    </row>
    <row r="75">
      <c r="A75" t="inlineStr">
        <is>
          <t>L-00074</t>
        </is>
      </c>
      <c r="B75" t="inlineStr">
        <is>
          <t>88664-D-1</t>
        </is>
      </c>
      <c r="C75" t="inlineStr">
        <is>
          <t>G9409777</t>
        </is>
      </c>
      <c r="D75" s="4" t="n">
        <v>360</v>
      </c>
      <c r="E75" s="5" t="n">
        <v>46214</v>
      </c>
      <c r="F75" s="5" t="n">
        <v>46216</v>
      </c>
      <c r="G75">
        <f>MAX(1,F75-E75)</f>
        <v/>
      </c>
      <c r="H75" s="4">
        <f>D75*G75</f>
        <v/>
      </c>
      <c r="I75">
        <f>IF(TODAY()&lt;E75,"À venir",IF(TODAY()&lt;F75,"En cours","Terminée"))</f>
        <v/>
      </c>
      <c r="J75" t="inlineStr">
        <is>
          <t>Instagram</t>
        </is>
      </c>
      <c r="K75" t="inlineStr">
        <is>
          <t>Terminée</t>
        </is>
      </c>
    </row>
    <row r="76">
      <c r="A76" t="inlineStr">
        <is>
          <t>L-00075</t>
        </is>
      </c>
      <c r="B76" t="inlineStr">
        <is>
          <t>71994-D-1</t>
        </is>
      </c>
      <c r="C76" t="inlineStr">
        <is>
          <t>AA411366</t>
        </is>
      </c>
      <c r="D76" s="4" t="n">
        <v>660</v>
      </c>
      <c r="E76" s="5" t="n">
        <v>46215</v>
      </c>
      <c r="F76" s="5" t="n">
        <v>46219</v>
      </c>
      <c r="G76">
        <f>MAX(1,F76-E76)</f>
        <v/>
      </c>
      <c r="H76" s="4">
        <f>D76*G76</f>
        <v/>
      </c>
      <c r="I76">
        <f>IF(TODAY()&lt;E76,"À venir",IF(TODAY()&lt;F76,"En cours","Terminée"))</f>
        <v/>
      </c>
      <c r="J76" t="inlineStr">
        <is>
          <t>Instagram</t>
        </is>
      </c>
      <c r="K76" t="inlineStr">
        <is>
          <t>Terminée</t>
        </is>
      </c>
    </row>
    <row r="77">
      <c r="A77" t="inlineStr">
        <is>
          <t>L-00076</t>
        </is>
      </c>
      <c r="B77" t="inlineStr">
        <is>
          <t>75329-D-1</t>
        </is>
      </c>
      <c r="C77" t="inlineStr">
        <is>
          <t>CD814227</t>
        </is>
      </c>
      <c r="D77" s="4" t="n">
        <v>540</v>
      </c>
      <c r="E77" s="5" t="n">
        <v>46215</v>
      </c>
      <c r="F77" s="5" t="n">
        <v>46222</v>
      </c>
      <c r="G77">
        <f>MAX(1,F77-E77)</f>
        <v/>
      </c>
      <c r="H77" s="4">
        <f>D77*G77</f>
        <v/>
      </c>
      <c r="I77">
        <f>IF(TODAY()&lt;E77,"À venir",IF(TODAY()&lt;F77,"En cours","Terminée"))</f>
        <v/>
      </c>
      <c r="J77" t="inlineStr">
        <is>
          <t>Site web</t>
        </is>
      </c>
      <c r="K77" t="inlineStr">
        <is>
          <t>Terminée</t>
        </is>
      </c>
    </row>
    <row r="78">
      <c r="A78" t="inlineStr">
        <is>
          <t>L-00077</t>
        </is>
      </c>
      <c r="B78" t="inlineStr">
        <is>
          <t>21066-H-1</t>
        </is>
      </c>
      <c r="C78" t="inlineStr">
        <is>
          <t>EE722487</t>
        </is>
      </c>
      <c r="D78" s="4" t="n">
        <v>550</v>
      </c>
      <c r="E78" s="5" t="n">
        <v>46216</v>
      </c>
      <c r="F78" s="5" t="n">
        <v>46226</v>
      </c>
      <c r="G78">
        <f>MAX(1,F78-E78)</f>
        <v/>
      </c>
      <c r="H78" s="4">
        <f>D78*G78</f>
        <v/>
      </c>
      <c r="I78">
        <f>IF(TODAY()&lt;E78,"À venir",IF(TODAY()&lt;F78,"En cours","Terminée"))</f>
        <v/>
      </c>
      <c r="J78" t="inlineStr">
        <is>
          <t>Booking.com</t>
        </is>
      </c>
      <c r="K78" t="inlineStr">
        <is>
          <t>Terminée</t>
        </is>
      </c>
    </row>
    <row r="79">
      <c r="A79" t="inlineStr">
        <is>
          <t>L-00078</t>
        </is>
      </c>
      <c r="B79" t="inlineStr">
        <is>
          <t>25835-W-1</t>
        </is>
      </c>
      <c r="C79" t="inlineStr">
        <is>
          <t>BK841625</t>
        </is>
      </c>
      <c r="D79" s="4" t="n">
        <v>550</v>
      </c>
      <c r="E79" s="5" t="n">
        <v>46216</v>
      </c>
      <c r="F79" s="5" t="n">
        <v>46230</v>
      </c>
      <c r="G79">
        <f>MAX(1,F79-E79)</f>
        <v/>
      </c>
      <c r="H79" s="4">
        <f>D79*G79</f>
        <v/>
      </c>
      <c r="I79">
        <f>IF(TODAY()&lt;E79,"À venir",IF(TODAY()&lt;F79,"En cours","Terminée"))</f>
        <v/>
      </c>
      <c r="J79" t="inlineStr">
        <is>
          <t>Booking.com</t>
        </is>
      </c>
      <c r="K79" t="inlineStr">
        <is>
          <t>Terminée</t>
        </is>
      </c>
    </row>
    <row r="80">
      <c r="A80" t="inlineStr">
        <is>
          <t>L-00079</t>
        </is>
      </c>
      <c r="B80" t="inlineStr">
        <is>
          <t>33992-B-1</t>
        </is>
      </c>
      <c r="C80" t="inlineStr">
        <is>
          <t>AD710001</t>
        </is>
      </c>
      <c r="D80" s="4" t="n">
        <v>540</v>
      </c>
      <c r="E80" s="5" t="n">
        <v>46216</v>
      </c>
      <c r="F80" s="5" t="n">
        <v>46221</v>
      </c>
      <c r="G80">
        <f>MAX(1,F80-E80)</f>
        <v/>
      </c>
      <c r="H80" s="4">
        <f>D80*G80</f>
        <v/>
      </c>
      <c r="I80">
        <f>IF(TODAY()&lt;E80,"À venir",IF(TODAY()&lt;F80,"En cours","Terminée"))</f>
        <v/>
      </c>
      <c r="J80" t="inlineStr">
        <is>
          <t>Facebook</t>
        </is>
      </c>
      <c r="K80" t="inlineStr">
        <is>
          <t>Terminée</t>
        </is>
      </c>
    </row>
    <row r="81">
      <c r="A81" t="inlineStr">
        <is>
          <t>L-00080</t>
        </is>
      </c>
      <c r="B81" t="inlineStr">
        <is>
          <t>35623-W-1</t>
        </is>
      </c>
      <c r="C81" t="inlineStr">
        <is>
          <t>G8781893</t>
        </is>
      </c>
      <c r="D81" s="4" t="n">
        <v>1450</v>
      </c>
      <c r="E81" s="5" t="n">
        <v>46216</v>
      </c>
      <c r="F81" s="5" t="n">
        <v>46219</v>
      </c>
      <c r="G81">
        <f>MAX(1,F81-E81)</f>
        <v/>
      </c>
      <c r="H81" s="4">
        <f>D81*G81</f>
        <v/>
      </c>
      <c r="I81">
        <f>IF(TODAY()&lt;E81,"À venir",IF(TODAY()&lt;F81,"En cours","Terminée"))</f>
        <v/>
      </c>
      <c r="J81" t="inlineStr">
        <is>
          <t>Facebook</t>
        </is>
      </c>
      <c r="K81" t="inlineStr">
        <is>
          <t>Terminée</t>
        </is>
      </c>
    </row>
    <row r="82">
      <c r="A82" t="inlineStr">
        <is>
          <t>L-00081</t>
        </is>
      </c>
      <c r="B82" t="inlineStr">
        <is>
          <t>76545-W-1</t>
        </is>
      </c>
      <c r="C82" t="inlineStr">
        <is>
          <t>G1943814</t>
        </is>
      </c>
      <c r="D82" s="4" t="n">
        <v>750</v>
      </c>
      <c r="E82" s="5" t="n">
        <v>46216</v>
      </c>
      <c r="F82" s="5" t="n">
        <v>46219</v>
      </c>
      <c r="G82">
        <f>MAX(1,F82-E82)</f>
        <v/>
      </c>
      <c r="H82" s="4">
        <f>D82*G82</f>
        <v/>
      </c>
      <c r="I82">
        <f>IF(TODAY()&lt;E82,"À venir",IF(TODAY()&lt;F82,"En cours","Terminée"))</f>
        <v/>
      </c>
      <c r="J82" t="inlineStr">
        <is>
          <t>Booking.com</t>
        </is>
      </c>
      <c r="K82" t="inlineStr">
        <is>
          <t>Terminée</t>
        </is>
      </c>
    </row>
    <row r="83">
      <c r="A83" t="inlineStr">
        <is>
          <t>L-00082</t>
        </is>
      </c>
      <c r="B83" t="inlineStr">
        <is>
          <t>76897-B-1</t>
        </is>
      </c>
      <c r="C83" t="inlineStr">
        <is>
          <t>IT1892934</t>
        </is>
      </c>
      <c r="D83" s="4" t="n">
        <v>650</v>
      </c>
      <c r="E83" s="5" t="n">
        <v>46216</v>
      </c>
      <c r="F83" s="5" t="n">
        <v>46218</v>
      </c>
      <c r="G83">
        <f>MAX(1,F83-E83)</f>
        <v/>
      </c>
      <c r="H83" s="4">
        <f>D83*G83</f>
        <v/>
      </c>
      <c r="I83">
        <f>IF(TODAY()&lt;E83,"À venir",IF(TODAY()&lt;F83,"En cours","Terminée"))</f>
        <v/>
      </c>
      <c r="J83" t="inlineStr">
        <is>
          <t>WhatsApp</t>
        </is>
      </c>
      <c r="K83" t="inlineStr">
        <is>
          <t>Terminée</t>
        </is>
      </c>
    </row>
    <row r="84">
      <c r="A84" t="inlineStr">
        <is>
          <t>L-00083</t>
        </is>
      </c>
      <c r="B84" t="inlineStr">
        <is>
          <t>84923-D-1</t>
        </is>
      </c>
      <c r="C84" t="inlineStr">
        <is>
          <t>G9756569</t>
        </is>
      </c>
      <c r="D84" s="4" t="n">
        <v>760</v>
      </c>
      <c r="E84" s="5" t="n">
        <v>46216</v>
      </c>
      <c r="F84" s="5" t="n">
        <v>46219</v>
      </c>
      <c r="G84">
        <f>MAX(1,F84-E84)</f>
        <v/>
      </c>
      <c r="H84" s="4">
        <f>D84*G84</f>
        <v/>
      </c>
      <c r="I84">
        <f>IF(TODAY()&lt;E84,"À venir",IF(TODAY()&lt;F84,"En cours","Terminée"))</f>
        <v/>
      </c>
      <c r="J84" t="inlineStr">
        <is>
          <t>WhatsApp</t>
        </is>
      </c>
      <c r="K84" t="inlineStr">
        <is>
          <t>Terminée</t>
        </is>
      </c>
    </row>
    <row r="85">
      <c r="A85" t="inlineStr">
        <is>
          <t>L-00084</t>
        </is>
      </c>
      <c r="B85" t="inlineStr">
        <is>
          <t>85272-B-1</t>
        </is>
      </c>
      <c r="C85" t="inlineStr">
        <is>
          <t>DA264765</t>
        </is>
      </c>
      <c r="D85" s="4" t="n">
        <v>580</v>
      </c>
      <c r="E85" s="5" t="n">
        <v>46216</v>
      </c>
      <c r="F85" s="5" t="n">
        <v>46220</v>
      </c>
      <c r="G85">
        <f>MAX(1,F85-E85)</f>
        <v/>
      </c>
      <c r="H85" s="4">
        <f>D85*G85</f>
        <v/>
      </c>
      <c r="I85">
        <f>IF(TODAY()&lt;E85,"À venir",IF(TODAY()&lt;F85,"En cours","Terminée"))</f>
        <v/>
      </c>
      <c r="J85" t="inlineStr">
        <is>
          <t>Facebook</t>
        </is>
      </c>
      <c r="K85" t="inlineStr">
        <is>
          <t>Terminée</t>
        </is>
      </c>
    </row>
    <row r="86">
      <c r="A86" t="inlineStr">
        <is>
          <t>L-00085</t>
        </is>
      </c>
      <c r="B86" t="inlineStr">
        <is>
          <t>96667-D-1</t>
        </is>
      </c>
      <c r="C86" t="inlineStr">
        <is>
          <t>AA777952</t>
        </is>
      </c>
      <c r="D86" s="4" t="n">
        <v>990</v>
      </c>
      <c r="E86" s="5" t="n">
        <v>46216</v>
      </c>
      <c r="F86" s="5" t="n">
        <v>46221</v>
      </c>
      <c r="G86">
        <f>MAX(1,F86-E86)</f>
        <v/>
      </c>
      <c r="H86" s="4">
        <f>D86*G86</f>
        <v/>
      </c>
      <c r="I86">
        <f>IF(TODAY()&lt;E86,"À venir",IF(TODAY()&lt;F86,"En cours","Terminée"))</f>
        <v/>
      </c>
      <c r="J86" t="inlineStr">
        <is>
          <t>Booking.com</t>
        </is>
      </c>
      <c r="K86" t="inlineStr">
        <is>
          <t>Terminée</t>
        </is>
      </c>
    </row>
    <row r="87">
      <c r="A87" t="inlineStr">
        <is>
          <t>L-00086</t>
        </is>
      </c>
      <c r="B87" t="inlineStr">
        <is>
          <t>97018-A-1</t>
        </is>
      </c>
      <c r="C87" t="inlineStr">
        <is>
          <t>G7030384</t>
        </is>
      </c>
      <c r="D87" s="4" t="n">
        <v>440</v>
      </c>
      <c r="E87" s="5" t="n">
        <v>46216</v>
      </c>
      <c r="F87" s="5" t="n">
        <v>46220</v>
      </c>
      <c r="G87">
        <f>MAX(1,F87-E87)</f>
        <v/>
      </c>
      <c r="H87" s="4">
        <f>D87*G87</f>
        <v/>
      </c>
      <c r="I87">
        <f>IF(TODAY()&lt;E87,"À venir",IF(TODAY()&lt;F87,"En cours","Terminée"))</f>
        <v/>
      </c>
      <c r="J87" t="inlineStr">
        <is>
          <t>WhatsApp</t>
        </is>
      </c>
      <c r="K87" t="inlineStr">
        <is>
          <t>Terminée</t>
        </is>
      </c>
    </row>
    <row r="88">
      <c r="A88" t="inlineStr">
        <is>
          <t>L-00087</t>
        </is>
      </c>
      <c r="B88" t="inlineStr">
        <is>
          <t>22080-H-1</t>
        </is>
      </c>
      <c r="C88" t="inlineStr">
        <is>
          <t>AA411366</t>
        </is>
      </c>
      <c r="D88" s="4" t="n">
        <v>360</v>
      </c>
      <c r="E88" s="5" t="n">
        <v>46217</v>
      </c>
      <c r="F88" s="5" t="n">
        <v>46221</v>
      </c>
      <c r="G88">
        <f>MAX(1,F88-E88)</f>
        <v/>
      </c>
      <c r="H88" s="4">
        <f>D88*G88</f>
        <v/>
      </c>
      <c r="I88">
        <f>IF(TODAY()&lt;E88,"À venir",IF(TODAY()&lt;F88,"En cours","Terminée"))</f>
        <v/>
      </c>
      <c r="J88" t="inlineStr">
        <is>
          <t>Comptoir</t>
        </is>
      </c>
      <c r="K88" t="inlineStr">
        <is>
          <t>Terminée</t>
        </is>
      </c>
    </row>
    <row r="89">
      <c r="A89" t="inlineStr">
        <is>
          <t>L-00088</t>
        </is>
      </c>
      <c r="B89" t="inlineStr">
        <is>
          <t>62064-H-1</t>
        </is>
      </c>
      <c r="C89" t="inlineStr">
        <is>
          <t>AD221480</t>
        </is>
      </c>
      <c r="D89" s="4" t="n">
        <v>300</v>
      </c>
      <c r="E89" s="5" t="n">
        <v>46217</v>
      </c>
      <c r="F89" s="5" t="n">
        <v>46231</v>
      </c>
      <c r="G89">
        <f>MAX(1,F89-E89)</f>
        <v/>
      </c>
      <c r="H89" s="4">
        <f>D89*G89</f>
        <v/>
      </c>
      <c r="I89">
        <f>IF(TODAY()&lt;E89,"À venir",IF(TODAY()&lt;F89,"En cours","Terminée"))</f>
        <v/>
      </c>
      <c r="J89" t="inlineStr">
        <is>
          <t>Téléphone</t>
        </is>
      </c>
      <c r="K89" t="inlineStr">
        <is>
          <t>Terminée</t>
        </is>
      </c>
    </row>
    <row r="90">
      <c r="A90" t="inlineStr">
        <is>
          <t>L-00089</t>
        </is>
      </c>
      <c r="B90" t="inlineStr">
        <is>
          <t>83373-B-1</t>
        </is>
      </c>
      <c r="C90" t="inlineStr">
        <is>
          <t>AB127910</t>
        </is>
      </c>
      <c r="D90" s="4" t="n">
        <v>310</v>
      </c>
      <c r="E90" s="5" t="n">
        <v>46217</v>
      </c>
      <c r="F90" s="5" t="n">
        <v>46224</v>
      </c>
      <c r="G90">
        <f>MAX(1,F90-E90)</f>
        <v/>
      </c>
      <c r="H90" s="4">
        <f>D90*G90</f>
        <v/>
      </c>
      <c r="I90">
        <f>IF(TODAY()&lt;E90,"À venir",IF(TODAY()&lt;F90,"En cours","Terminée"))</f>
        <v/>
      </c>
      <c r="J90" t="inlineStr">
        <is>
          <t>Instagram</t>
        </is>
      </c>
      <c r="K90" t="inlineStr">
        <is>
          <t>Terminée</t>
        </is>
      </c>
    </row>
    <row r="91">
      <c r="A91" t="inlineStr">
        <is>
          <t>L-00090</t>
        </is>
      </c>
      <c r="B91" t="inlineStr">
        <is>
          <t>88664-D-1</t>
        </is>
      </c>
      <c r="C91" t="inlineStr">
        <is>
          <t>BK193941</t>
        </is>
      </c>
      <c r="D91" s="4" t="n">
        <v>370</v>
      </c>
      <c r="E91" s="5" t="n">
        <v>46217</v>
      </c>
      <c r="F91" s="5" t="n">
        <v>46222</v>
      </c>
      <c r="G91">
        <f>MAX(1,F91-E91)</f>
        <v/>
      </c>
      <c r="H91" s="4">
        <f>D91*G91</f>
        <v/>
      </c>
      <c r="I91">
        <f>IF(TODAY()&lt;E91,"À venir",IF(TODAY()&lt;F91,"En cours","Terminée"))</f>
        <v/>
      </c>
      <c r="J91" t="inlineStr">
        <is>
          <t>WhatsApp</t>
        </is>
      </c>
      <c r="K91" t="inlineStr">
        <is>
          <t>Terminée</t>
        </is>
      </c>
    </row>
    <row r="92">
      <c r="A92" t="inlineStr">
        <is>
          <t>L-00091</t>
        </is>
      </c>
      <c r="B92" t="inlineStr">
        <is>
          <t>69221-A-1</t>
        </is>
      </c>
      <c r="C92" t="inlineStr">
        <is>
          <t>BK346421</t>
        </is>
      </c>
      <c r="D92" s="4" t="n">
        <v>1330</v>
      </c>
      <c r="E92" s="5" t="n">
        <v>46218</v>
      </c>
      <c r="F92" s="5" t="n">
        <v>46223</v>
      </c>
      <c r="G92">
        <f>MAX(1,F92-E92)</f>
        <v/>
      </c>
      <c r="H92" s="4">
        <f>D92*G92</f>
        <v/>
      </c>
      <c r="I92">
        <f>IF(TODAY()&lt;E92,"À venir",IF(TODAY()&lt;F92,"En cours","Terminée"))</f>
        <v/>
      </c>
      <c r="J92" t="inlineStr">
        <is>
          <t>Téléphone</t>
        </is>
      </c>
      <c r="K92" t="inlineStr">
        <is>
          <t>Terminée</t>
        </is>
      </c>
    </row>
    <row r="93">
      <c r="A93" t="inlineStr">
        <is>
          <t>L-00092</t>
        </is>
      </c>
      <c r="B93" t="inlineStr">
        <is>
          <t>74343-B-1</t>
        </is>
      </c>
      <c r="C93" t="inlineStr">
        <is>
          <t>BE636382</t>
        </is>
      </c>
      <c r="D93" s="4" t="n">
        <v>260</v>
      </c>
      <c r="E93" s="5" t="n">
        <v>46218</v>
      </c>
      <c r="F93" s="5" t="n">
        <v>46239</v>
      </c>
      <c r="G93">
        <f>MAX(1,F93-E93)</f>
        <v/>
      </c>
      <c r="H93" s="4">
        <f>D93*G93</f>
        <v/>
      </c>
      <c r="I93">
        <f>IF(TODAY()&lt;E93,"À venir",IF(TODAY()&lt;F93,"En cours","Terminée"))</f>
        <v/>
      </c>
      <c r="J93" t="inlineStr">
        <is>
          <t>Téléphone</t>
        </is>
      </c>
      <c r="K93" t="inlineStr">
        <is>
          <t>Terminée</t>
        </is>
      </c>
    </row>
    <row r="94">
      <c r="A94" t="inlineStr">
        <is>
          <t>L-00093</t>
        </is>
      </c>
      <c r="B94" t="inlineStr">
        <is>
          <t>81442-B-1</t>
        </is>
      </c>
      <c r="C94" t="inlineStr">
        <is>
          <t>AB893891</t>
        </is>
      </c>
      <c r="D94" s="4" t="n">
        <v>490</v>
      </c>
      <c r="E94" s="5" t="n">
        <v>46218</v>
      </c>
      <c r="F94" s="5" t="n">
        <v>46220</v>
      </c>
      <c r="G94">
        <f>MAX(1,F94-E94)</f>
        <v/>
      </c>
      <c r="H94" s="4">
        <f>D94*G94</f>
        <v/>
      </c>
      <c r="I94">
        <f>IF(TODAY()&lt;E94,"À venir",IF(TODAY()&lt;F94,"En cours","Terminée"))</f>
        <v/>
      </c>
      <c r="J94" t="inlineStr">
        <is>
          <t>Booking.com</t>
        </is>
      </c>
      <c r="K94" t="inlineStr">
        <is>
          <t>Terminée</t>
        </is>
      </c>
    </row>
    <row r="95">
      <c r="A95" t="inlineStr">
        <is>
          <t>L-00094</t>
        </is>
      </c>
      <c r="B95" t="inlineStr">
        <is>
          <t>97618-A-1</t>
        </is>
      </c>
      <c r="C95" t="inlineStr">
        <is>
          <t>CD416695</t>
        </is>
      </c>
      <c r="D95" s="4" t="n">
        <v>510</v>
      </c>
      <c r="E95" s="5" t="n">
        <v>46218</v>
      </c>
      <c r="F95" s="5" t="n">
        <v>46221</v>
      </c>
      <c r="G95">
        <f>MAX(1,F95-E95)</f>
        <v/>
      </c>
      <c r="H95" s="4">
        <f>D95*G95</f>
        <v/>
      </c>
      <c r="I95">
        <f>IF(TODAY()&lt;E95,"À venir",IF(TODAY()&lt;F95,"En cours","Terminée"))</f>
        <v/>
      </c>
      <c r="J95" t="inlineStr">
        <is>
          <t>Facebook</t>
        </is>
      </c>
      <c r="K95" t="inlineStr">
        <is>
          <t>Terminée</t>
        </is>
      </c>
    </row>
    <row r="96">
      <c r="A96" t="inlineStr">
        <is>
          <t>L-00095</t>
        </is>
      </c>
      <c r="B96" t="inlineStr">
        <is>
          <t>36193-W-1</t>
        </is>
      </c>
      <c r="C96" t="inlineStr">
        <is>
          <t>EE359347</t>
        </is>
      </c>
      <c r="D96" s="4" t="n">
        <v>480</v>
      </c>
      <c r="E96" s="5" t="n">
        <v>46219</v>
      </c>
      <c r="F96" s="5" t="n">
        <v>46222</v>
      </c>
      <c r="G96">
        <f>MAX(1,F96-E96)</f>
        <v/>
      </c>
      <c r="H96" s="4">
        <f>D96*G96</f>
        <v/>
      </c>
      <c r="I96">
        <f>IF(TODAY()&lt;E96,"À venir",IF(TODAY()&lt;F96,"En cours","Terminée"))</f>
        <v/>
      </c>
      <c r="J96" t="inlineStr">
        <is>
          <t>WhatsApp</t>
        </is>
      </c>
      <c r="K96" t="inlineStr">
        <is>
          <t>Terminée</t>
        </is>
      </c>
    </row>
    <row r="97">
      <c r="A97" t="inlineStr">
        <is>
          <t>L-00096</t>
        </is>
      </c>
      <c r="B97" t="inlineStr">
        <is>
          <t>85684-A-1</t>
        </is>
      </c>
      <c r="C97" t="inlineStr">
        <is>
          <t>A4430872</t>
        </is>
      </c>
      <c r="D97" s="4" t="n">
        <v>260</v>
      </c>
      <c r="E97" s="5" t="n">
        <v>46219</v>
      </c>
      <c r="F97" s="5" t="n">
        <v>46222</v>
      </c>
      <c r="G97">
        <f>MAX(1,F97-E97)</f>
        <v/>
      </c>
      <c r="H97" s="4">
        <f>D97*G97</f>
        <v/>
      </c>
      <c r="I97">
        <f>IF(TODAY()&lt;E97,"À venir",IF(TODAY()&lt;F97,"En cours","Terminée"))</f>
        <v/>
      </c>
      <c r="J97" t="inlineStr">
        <is>
          <t>Téléphone</t>
        </is>
      </c>
      <c r="K97" t="inlineStr">
        <is>
          <t>Terminée</t>
        </is>
      </c>
    </row>
    <row r="98">
      <c r="A98" t="inlineStr">
        <is>
          <t>L-00097</t>
        </is>
      </c>
      <c r="B98" t="inlineStr">
        <is>
          <t>88778-A-1</t>
        </is>
      </c>
      <c r="C98" t="inlineStr">
        <is>
          <t>G1948412</t>
        </is>
      </c>
      <c r="D98" s="4" t="n">
        <v>260</v>
      </c>
      <c r="E98" s="5" t="n">
        <v>46219</v>
      </c>
      <c r="F98" s="5" t="n">
        <v>46224</v>
      </c>
      <c r="G98">
        <f>MAX(1,F98-E98)</f>
        <v/>
      </c>
      <c r="H98" s="4">
        <f>D98*G98</f>
        <v/>
      </c>
      <c r="I98">
        <f>IF(TODAY()&lt;E98,"À venir",IF(TODAY()&lt;F98,"En cours","Terminée"))</f>
        <v/>
      </c>
      <c r="J98" t="inlineStr">
        <is>
          <t>Site web</t>
        </is>
      </c>
      <c r="K98" t="inlineStr">
        <is>
          <t>Terminée</t>
        </is>
      </c>
    </row>
    <row r="99">
      <c r="A99" t="inlineStr">
        <is>
          <t>L-00098</t>
        </is>
      </c>
      <c r="B99" t="inlineStr">
        <is>
          <t>94626-B-1</t>
        </is>
      </c>
      <c r="C99" t="inlineStr">
        <is>
          <t>AE576350</t>
        </is>
      </c>
      <c r="D99" s="4" t="n">
        <v>1020</v>
      </c>
      <c r="E99" s="5" t="n">
        <v>46219</v>
      </c>
      <c r="F99" s="5" t="n">
        <v>46233</v>
      </c>
      <c r="G99">
        <f>MAX(1,F99-E99)</f>
        <v/>
      </c>
      <c r="H99" s="4">
        <f>D99*G99</f>
        <v/>
      </c>
      <c r="I99">
        <f>IF(TODAY()&lt;E99,"À venir",IF(TODAY()&lt;F99,"En cours","Terminée"))</f>
        <v/>
      </c>
      <c r="J99" t="inlineStr">
        <is>
          <t>Facebook</t>
        </is>
      </c>
      <c r="K99" t="inlineStr">
        <is>
          <t>Terminée</t>
        </is>
      </c>
    </row>
    <row r="100">
      <c r="A100" t="inlineStr">
        <is>
          <t>L-00099</t>
        </is>
      </c>
      <c r="B100" t="inlineStr">
        <is>
          <t>35623-W-1</t>
        </is>
      </c>
      <c r="C100" t="inlineStr">
        <is>
          <t>BE418225</t>
        </is>
      </c>
      <c r="D100" s="4" t="n">
        <v>1430</v>
      </c>
      <c r="E100" s="5" t="n">
        <v>46220</v>
      </c>
      <c r="F100" s="5" t="n">
        <v>46227</v>
      </c>
      <c r="G100">
        <f>MAX(1,F100-E100)</f>
        <v/>
      </c>
      <c r="H100" s="4">
        <f>D100*G100</f>
        <v/>
      </c>
      <c r="I100">
        <f>IF(TODAY()&lt;E100,"À venir",IF(TODAY()&lt;F100,"En cours","Terminée"))</f>
        <v/>
      </c>
      <c r="J100" t="inlineStr">
        <is>
          <t>Facebook</t>
        </is>
      </c>
      <c r="K100" t="inlineStr">
        <is>
          <t>Terminée</t>
        </is>
      </c>
    </row>
    <row r="101">
      <c r="A101" t="inlineStr">
        <is>
          <t>L-00100</t>
        </is>
      </c>
      <c r="B101" t="inlineStr">
        <is>
          <t>71994-D-1</t>
        </is>
      </c>
      <c r="C101" t="inlineStr">
        <is>
          <t>CD649429</t>
        </is>
      </c>
      <c r="D101" s="4" t="n">
        <v>680</v>
      </c>
      <c r="E101" s="5" t="n">
        <v>46220</v>
      </c>
      <c r="F101" s="5" t="n">
        <v>46225</v>
      </c>
      <c r="G101">
        <f>MAX(1,F101-E101)</f>
        <v/>
      </c>
      <c r="H101" s="4">
        <f>D101*G101</f>
        <v/>
      </c>
      <c r="I101">
        <f>IF(TODAY()&lt;E101,"À venir",IF(TODAY()&lt;F101,"En cours","Terminée"))</f>
        <v/>
      </c>
      <c r="J101" t="inlineStr">
        <is>
          <t>Booking.com</t>
        </is>
      </c>
      <c r="K101" t="inlineStr">
        <is>
          <t>Terminée</t>
        </is>
      </c>
    </row>
    <row r="102">
      <c r="A102" t="inlineStr">
        <is>
          <t>L-00101</t>
        </is>
      </c>
      <c r="B102" t="inlineStr">
        <is>
          <t>76897-B-1</t>
        </is>
      </c>
      <c r="C102" t="inlineStr">
        <is>
          <t>G4153192</t>
        </is>
      </c>
      <c r="D102" s="4" t="n">
        <v>560</v>
      </c>
      <c r="E102" s="5" t="n">
        <v>46220</v>
      </c>
      <c r="F102" s="5" t="n">
        <v>46234</v>
      </c>
      <c r="G102">
        <f>MAX(1,F102-E102)</f>
        <v/>
      </c>
      <c r="H102" s="4">
        <f>D102*G102</f>
        <v/>
      </c>
      <c r="I102">
        <f>IF(TODAY()&lt;E102,"À venir",IF(TODAY()&lt;F102,"En cours","Terminée"))</f>
        <v/>
      </c>
      <c r="J102" t="inlineStr">
        <is>
          <t>Booking.com</t>
        </is>
      </c>
      <c r="K102" t="inlineStr">
        <is>
          <t>Terminée</t>
        </is>
      </c>
    </row>
    <row r="103">
      <c r="A103" t="inlineStr">
        <is>
          <t>L-00102</t>
        </is>
      </c>
      <c r="B103" t="inlineStr">
        <is>
          <t>84923-D-1</t>
        </is>
      </c>
      <c r="C103" t="inlineStr">
        <is>
          <t>DA819171</t>
        </is>
      </c>
      <c r="D103" s="4" t="n">
        <v>670</v>
      </c>
      <c r="E103" s="5" t="n">
        <v>46220</v>
      </c>
      <c r="F103" s="5" t="n">
        <v>46227</v>
      </c>
      <c r="G103">
        <f>MAX(1,F103-E103)</f>
        <v/>
      </c>
      <c r="H103" s="4">
        <f>D103*G103</f>
        <v/>
      </c>
      <c r="I103">
        <f>IF(TODAY()&lt;E103,"À venir",IF(TODAY()&lt;F103,"En cours","Terminée"))</f>
        <v/>
      </c>
      <c r="J103" t="inlineStr">
        <is>
          <t>Site web</t>
        </is>
      </c>
      <c r="K103" t="inlineStr">
        <is>
          <t>Terminée</t>
        </is>
      </c>
    </row>
    <row r="104">
      <c r="A104" t="inlineStr">
        <is>
          <t>L-00103</t>
        </is>
      </c>
      <c r="B104" t="inlineStr">
        <is>
          <t>71302-W-1</t>
        </is>
      </c>
      <c r="C104" t="inlineStr">
        <is>
          <t>AB352833</t>
        </is>
      </c>
      <c r="D104" s="4" t="n">
        <v>440</v>
      </c>
      <c r="E104" s="5" t="n">
        <v>46221</v>
      </c>
      <c r="F104" s="5" t="n">
        <v>46223</v>
      </c>
      <c r="G104">
        <f>MAX(1,F104-E104)</f>
        <v/>
      </c>
      <c r="H104" s="4">
        <f>D104*G104</f>
        <v/>
      </c>
      <c r="I104">
        <f>IF(TODAY()&lt;E104,"À venir",IF(TODAY()&lt;F104,"En cours","Terminée"))</f>
        <v/>
      </c>
      <c r="J104" t="inlineStr">
        <is>
          <t>Téléphone</t>
        </is>
      </c>
      <c r="K104" t="inlineStr">
        <is>
          <t>Terminée</t>
        </is>
      </c>
    </row>
    <row r="105">
      <c r="A105" t="inlineStr">
        <is>
          <t>L-00104</t>
        </is>
      </c>
      <c r="B105" t="inlineStr">
        <is>
          <t>76545-W-1</t>
        </is>
      </c>
      <c r="C105" t="inlineStr">
        <is>
          <t>G9409777</t>
        </is>
      </c>
      <c r="D105" s="4" t="n">
        <v>770</v>
      </c>
      <c r="E105" s="5" t="n">
        <v>46221</v>
      </c>
      <c r="F105" s="5" t="n">
        <v>46225</v>
      </c>
      <c r="G105">
        <f>MAX(1,F105-E105)</f>
        <v/>
      </c>
      <c r="H105" s="4">
        <f>D105*G105</f>
        <v/>
      </c>
      <c r="I105">
        <f>IF(TODAY()&lt;E105,"À venir",IF(TODAY()&lt;F105,"En cours","Terminée"))</f>
        <v/>
      </c>
      <c r="J105" t="inlineStr">
        <is>
          <t>Site web</t>
        </is>
      </c>
      <c r="K105" t="inlineStr">
        <is>
          <t>Terminée</t>
        </is>
      </c>
    </row>
    <row r="106">
      <c r="A106" t="inlineStr">
        <is>
          <t>L-00105</t>
        </is>
      </c>
      <c r="B106" t="inlineStr">
        <is>
          <t>77893-H-1</t>
        </is>
      </c>
      <c r="C106" t="inlineStr">
        <is>
          <t>XK5115911</t>
        </is>
      </c>
      <c r="D106" s="4" t="n">
        <v>280</v>
      </c>
      <c r="E106" s="5" t="n">
        <v>46221</v>
      </c>
      <c r="F106" s="5" t="n">
        <v>46235</v>
      </c>
      <c r="G106">
        <f>MAX(1,F106-E106)</f>
        <v/>
      </c>
      <c r="H106" s="4">
        <f>D106*G106</f>
        <v/>
      </c>
      <c r="I106">
        <f>IF(TODAY()&lt;E106,"À venir",IF(TODAY()&lt;F106,"En cours","Terminée"))</f>
        <v/>
      </c>
      <c r="J106" t="inlineStr">
        <is>
          <t>Facebook</t>
        </is>
      </c>
      <c r="K106" t="inlineStr">
        <is>
          <t>Terminée</t>
        </is>
      </c>
    </row>
    <row r="107">
      <c r="A107" t="inlineStr">
        <is>
          <t>L-00106</t>
        </is>
      </c>
      <c r="B107" t="inlineStr">
        <is>
          <t>81442-B-1</t>
        </is>
      </c>
      <c r="C107" t="inlineStr">
        <is>
          <t>BK784742</t>
        </is>
      </c>
      <c r="D107" s="4" t="n">
        <v>490</v>
      </c>
      <c r="E107" s="5" t="n">
        <v>46221</v>
      </c>
      <c r="F107" s="5" t="n">
        <v>46223</v>
      </c>
      <c r="G107">
        <f>MAX(1,F107-E107)</f>
        <v/>
      </c>
      <c r="H107" s="4">
        <f>D107*G107</f>
        <v/>
      </c>
      <c r="I107">
        <f>IF(TODAY()&lt;E107,"À venir",IF(TODAY()&lt;F107,"En cours","Terminée"))</f>
        <v/>
      </c>
      <c r="J107" t="inlineStr">
        <is>
          <t>WhatsApp</t>
        </is>
      </c>
      <c r="K107" t="inlineStr">
        <is>
          <t>Terminée</t>
        </is>
      </c>
    </row>
    <row r="108">
      <c r="A108" t="inlineStr">
        <is>
          <t>L-00107</t>
        </is>
      </c>
      <c r="B108" t="inlineStr">
        <is>
          <t>85272-B-1</t>
        </is>
      </c>
      <c r="C108" t="inlineStr">
        <is>
          <t>DE8666583</t>
        </is>
      </c>
      <c r="D108" s="4" t="n">
        <v>580</v>
      </c>
      <c r="E108" s="5" t="n">
        <v>46221</v>
      </c>
      <c r="F108" s="5" t="n">
        <v>46226</v>
      </c>
      <c r="G108">
        <f>MAX(1,F108-E108)</f>
        <v/>
      </c>
      <c r="H108" s="4">
        <f>D108*G108</f>
        <v/>
      </c>
      <c r="I108">
        <f>IF(TODAY()&lt;E108,"À venir",IF(TODAY()&lt;F108,"En cours","Terminée"))</f>
        <v/>
      </c>
      <c r="J108" t="inlineStr">
        <is>
          <t>WhatsApp</t>
        </is>
      </c>
      <c r="K108" t="inlineStr">
        <is>
          <t>Terminée</t>
        </is>
      </c>
    </row>
    <row r="109">
      <c r="A109" t="inlineStr">
        <is>
          <t>L-00108</t>
        </is>
      </c>
      <c r="B109" t="inlineStr">
        <is>
          <t>91567-W-1</t>
        </is>
      </c>
      <c r="C109" t="inlineStr">
        <is>
          <t>G1943814</t>
        </is>
      </c>
      <c r="D109" s="4" t="n">
        <v>210</v>
      </c>
      <c r="E109" s="5" t="n">
        <v>46221</v>
      </c>
      <c r="F109" s="5" t="n">
        <v>46242</v>
      </c>
      <c r="G109">
        <f>MAX(1,F109-E109)</f>
        <v/>
      </c>
      <c r="H109" s="4">
        <f>D109*G109</f>
        <v/>
      </c>
      <c r="I109">
        <f>IF(TODAY()&lt;E109,"À venir",IF(TODAY()&lt;F109,"En cours","Terminée"))</f>
        <v/>
      </c>
      <c r="J109" t="inlineStr">
        <is>
          <t>WhatsApp</t>
        </is>
      </c>
      <c r="K109" t="inlineStr">
        <is>
          <t>Terminée</t>
        </is>
      </c>
    </row>
    <row r="110">
      <c r="A110" t="inlineStr">
        <is>
          <t>L-00109</t>
        </is>
      </c>
      <c r="B110" t="inlineStr">
        <is>
          <t>97018-A-1</t>
        </is>
      </c>
      <c r="C110" t="inlineStr">
        <is>
          <t>CD649429</t>
        </is>
      </c>
      <c r="D110" s="4" t="n">
        <v>430</v>
      </c>
      <c r="E110" s="5" t="n">
        <v>46221</v>
      </c>
      <c r="F110" s="5" t="n">
        <v>46225</v>
      </c>
      <c r="G110">
        <f>MAX(1,F110-E110)</f>
        <v/>
      </c>
      <c r="H110" s="4">
        <f>D110*G110</f>
        <v/>
      </c>
      <c r="I110">
        <f>IF(TODAY()&lt;E110,"À venir",IF(TODAY()&lt;F110,"En cours","Terminée"))</f>
        <v/>
      </c>
      <c r="J110" t="inlineStr">
        <is>
          <t>Booking.com</t>
        </is>
      </c>
      <c r="K110" t="inlineStr">
        <is>
          <t>Terminée</t>
        </is>
      </c>
    </row>
    <row r="111">
      <c r="A111" t="inlineStr">
        <is>
          <t>L-00110</t>
        </is>
      </c>
      <c r="B111" t="inlineStr">
        <is>
          <t>22080-H-1</t>
        </is>
      </c>
      <c r="C111" t="inlineStr">
        <is>
          <t>A4009241</t>
        </is>
      </c>
      <c r="D111" s="4" t="n">
        <v>330</v>
      </c>
      <c r="E111" s="5" t="n">
        <v>46222</v>
      </c>
      <c r="F111" s="5" t="n">
        <v>46229</v>
      </c>
      <c r="G111">
        <f>MAX(1,F111-E111)</f>
        <v/>
      </c>
      <c r="H111" s="4">
        <f>D111*G111</f>
        <v/>
      </c>
      <c r="I111">
        <f>IF(TODAY()&lt;E111,"À venir",IF(TODAY()&lt;F111,"En cours","Terminée"))</f>
        <v/>
      </c>
      <c r="J111" t="inlineStr">
        <is>
          <t>Comptoir</t>
        </is>
      </c>
      <c r="K111" t="inlineStr">
        <is>
          <t>Terminée</t>
        </is>
      </c>
    </row>
    <row r="112">
      <c r="A112" t="inlineStr">
        <is>
          <t>L-00111</t>
        </is>
      </c>
      <c r="B112" t="inlineStr">
        <is>
          <t>33992-B-1</t>
        </is>
      </c>
      <c r="C112" t="inlineStr">
        <is>
          <t>YA7543921</t>
        </is>
      </c>
      <c r="D112" s="4" t="n">
        <v>450</v>
      </c>
      <c r="E112" s="5" t="n">
        <v>46222</v>
      </c>
      <c r="F112" s="5" t="n">
        <v>46236</v>
      </c>
      <c r="G112">
        <f>MAX(1,F112-E112)</f>
        <v/>
      </c>
      <c r="H112" s="4">
        <f>D112*G112</f>
        <v/>
      </c>
      <c r="I112">
        <f>IF(TODAY()&lt;E112,"À venir",IF(TODAY()&lt;F112,"En cours","Terminée"))</f>
        <v/>
      </c>
      <c r="J112" t="inlineStr">
        <is>
          <t>WhatsApp</t>
        </is>
      </c>
      <c r="K112" t="inlineStr">
        <is>
          <t>Terminée</t>
        </is>
      </c>
    </row>
    <row r="113">
      <c r="A113" t="inlineStr">
        <is>
          <t>L-00112</t>
        </is>
      </c>
      <c r="B113" t="inlineStr">
        <is>
          <t>96667-D-1</t>
        </is>
      </c>
      <c r="C113" t="inlineStr">
        <is>
          <t>AD710001</t>
        </is>
      </c>
      <c r="D113" s="4" t="n">
        <v>980</v>
      </c>
      <c r="E113" s="5" t="n">
        <v>46222</v>
      </c>
      <c r="F113" s="5" t="n">
        <v>46225</v>
      </c>
      <c r="G113">
        <f>MAX(1,F113-E113)</f>
        <v/>
      </c>
      <c r="H113" s="4">
        <f>D113*G113</f>
        <v/>
      </c>
      <c r="I113">
        <f>IF(TODAY()&lt;E113,"À venir",IF(TODAY()&lt;F113,"En cours","Terminée"))</f>
        <v/>
      </c>
      <c r="J113" t="inlineStr">
        <is>
          <t>WhatsApp</t>
        </is>
      </c>
      <c r="K113" t="inlineStr">
        <is>
          <t>Terminée</t>
        </is>
      </c>
    </row>
    <row r="114">
      <c r="A114" t="inlineStr">
        <is>
          <t>L-00113</t>
        </is>
      </c>
      <c r="B114" t="inlineStr">
        <is>
          <t>97618-A-1</t>
        </is>
      </c>
      <c r="C114" t="inlineStr">
        <is>
          <t>BE996341</t>
        </is>
      </c>
      <c r="D114" s="4" t="n">
        <v>520</v>
      </c>
      <c r="E114" s="5" t="n">
        <v>46222</v>
      </c>
      <c r="F114" s="5" t="n">
        <v>46226</v>
      </c>
      <c r="G114">
        <f>MAX(1,F114-E114)</f>
        <v/>
      </c>
      <c r="H114" s="4">
        <f>D114*G114</f>
        <v/>
      </c>
      <c r="I114">
        <f>IF(TODAY()&lt;E114,"À venir",IF(TODAY()&lt;F114,"En cours","Terminée"))</f>
        <v/>
      </c>
      <c r="J114" t="inlineStr">
        <is>
          <t>Comptoir</t>
        </is>
      </c>
      <c r="K114" t="inlineStr">
        <is>
          <t>Terminée</t>
        </is>
      </c>
    </row>
    <row r="115">
      <c r="A115" t="inlineStr">
        <is>
          <t>L-00114</t>
        </is>
      </c>
      <c r="B115" t="inlineStr">
        <is>
          <t>36193-W-1</t>
        </is>
      </c>
      <c r="C115" t="inlineStr">
        <is>
          <t>BK859626</t>
        </is>
      </c>
      <c r="D115" s="4" t="n">
        <v>460</v>
      </c>
      <c r="E115" s="5" t="n">
        <v>46223</v>
      </c>
      <c r="F115" s="5" t="n">
        <v>46244</v>
      </c>
      <c r="G115">
        <f>MAX(1,F115-E115)</f>
        <v/>
      </c>
      <c r="H115" s="4">
        <f>D115*G115</f>
        <v/>
      </c>
      <c r="I115">
        <f>IF(TODAY()&lt;E115,"À venir",IF(TODAY()&lt;F115,"En cours","Terminée"))</f>
        <v/>
      </c>
      <c r="J115" t="inlineStr">
        <is>
          <t>Booking.com</t>
        </is>
      </c>
      <c r="K115" t="inlineStr">
        <is>
          <t>Terminée</t>
        </is>
      </c>
    </row>
    <row r="116">
      <c r="A116" t="inlineStr">
        <is>
          <t>L-00115</t>
        </is>
      </c>
      <c r="B116" t="inlineStr">
        <is>
          <t>62268-B-1</t>
        </is>
      </c>
      <c r="C116" t="inlineStr">
        <is>
          <t>DA894249</t>
        </is>
      </c>
      <c r="D116" s="4" t="n">
        <v>330</v>
      </c>
      <c r="E116" s="5" t="n">
        <v>46223</v>
      </c>
      <c r="F116" s="5" t="n">
        <v>46227</v>
      </c>
      <c r="G116">
        <f>MAX(1,F116-E116)</f>
        <v/>
      </c>
      <c r="H116" s="4">
        <f>D116*G116</f>
        <v/>
      </c>
      <c r="I116">
        <f>IF(TODAY()&lt;E116,"À venir",IF(TODAY()&lt;F116,"En cours","Terminée"))</f>
        <v/>
      </c>
      <c r="J116" t="inlineStr">
        <is>
          <t>Site web</t>
        </is>
      </c>
      <c r="K116" t="inlineStr">
        <is>
          <t>Terminée</t>
        </is>
      </c>
    </row>
    <row r="117">
      <c r="A117" t="inlineStr">
        <is>
          <t>L-00116</t>
        </is>
      </c>
      <c r="B117" t="inlineStr">
        <is>
          <t>75329-D-1</t>
        </is>
      </c>
      <c r="C117" t="inlineStr">
        <is>
          <t>PA5242299</t>
        </is>
      </c>
      <c r="D117" s="4" t="n">
        <v>540</v>
      </c>
      <c r="E117" s="5" t="n">
        <v>46223</v>
      </c>
      <c r="F117" s="5" t="n">
        <v>46225</v>
      </c>
      <c r="G117">
        <f>MAX(1,F117-E117)</f>
        <v/>
      </c>
      <c r="H117" s="4">
        <f>D117*G117</f>
        <v/>
      </c>
      <c r="I117">
        <f>IF(TODAY()&lt;E117,"À venir",IF(TODAY()&lt;F117,"En cours","Terminée"))</f>
        <v/>
      </c>
      <c r="J117" t="inlineStr">
        <is>
          <t>WhatsApp</t>
        </is>
      </c>
      <c r="K117" t="inlineStr">
        <is>
          <t>Terminée</t>
        </is>
      </c>
    </row>
    <row r="118">
      <c r="A118" t="inlineStr">
        <is>
          <t>L-00117</t>
        </is>
      </c>
      <c r="B118" t="inlineStr">
        <is>
          <t>83662-D-1</t>
        </is>
      </c>
      <c r="C118" t="inlineStr">
        <is>
          <t>BK141422</t>
        </is>
      </c>
      <c r="D118" s="4" t="n">
        <v>420</v>
      </c>
      <c r="E118" s="5" t="n">
        <v>46223</v>
      </c>
      <c r="F118" s="5" t="n">
        <v>46244</v>
      </c>
      <c r="G118">
        <f>MAX(1,F118-E118)</f>
        <v/>
      </c>
      <c r="H118" s="4">
        <f>D118*G118</f>
        <v/>
      </c>
      <c r="I118">
        <f>IF(TODAY()&lt;E118,"À venir",IF(TODAY()&lt;F118,"En cours","Terminée"))</f>
        <v/>
      </c>
      <c r="J118" t="inlineStr">
        <is>
          <t>Instagram</t>
        </is>
      </c>
      <c r="K118" t="inlineStr">
        <is>
          <t>Terminée</t>
        </is>
      </c>
    </row>
    <row r="119">
      <c r="A119" t="inlineStr">
        <is>
          <t>L-00118</t>
        </is>
      </c>
      <c r="B119" t="inlineStr">
        <is>
          <t>88664-D-1</t>
        </is>
      </c>
      <c r="C119" t="inlineStr">
        <is>
          <t>EE942083</t>
        </is>
      </c>
      <c r="D119" s="4" t="n">
        <v>370</v>
      </c>
      <c r="E119" s="5" t="n">
        <v>46223</v>
      </c>
      <c r="F119" s="5" t="n">
        <v>46226</v>
      </c>
      <c r="G119">
        <f>MAX(1,F119-E119)</f>
        <v/>
      </c>
      <c r="H119" s="4">
        <f>D119*G119</f>
        <v/>
      </c>
      <c r="I119">
        <f>IF(TODAY()&lt;E119,"À venir",IF(TODAY()&lt;F119,"En cours","Terminée"))</f>
        <v/>
      </c>
      <c r="J119" t="inlineStr">
        <is>
          <t>Site web</t>
        </is>
      </c>
      <c r="K119" t="inlineStr">
        <is>
          <t>Terminée</t>
        </is>
      </c>
    </row>
    <row r="120">
      <c r="A120" t="inlineStr">
        <is>
          <t>L-00119</t>
        </is>
      </c>
      <c r="B120" t="inlineStr">
        <is>
          <t>69221-A-1</t>
        </is>
      </c>
      <c r="C120" t="inlineStr">
        <is>
          <t>AD962732</t>
        </is>
      </c>
      <c r="D120" s="4" t="n">
        <v>1320</v>
      </c>
      <c r="E120" s="5" t="n">
        <v>46224</v>
      </c>
      <c r="F120" s="5" t="n">
        <v>46229</v>
      </c>
      <c r="G120">
        <f>MAX(1,F120-E120)</f>
        <v/>
      </c>
      <c r="H120" s="4">
        <f>D120*G120</f>
        <v/>
      </c>
      <c r="I120">
        <f>IF(TODAY()&lt;E120,"À venir",IF(TODAY()&lt;F120,"En cours","Terminée"))</f>
        <v/>
      </c>
      <c r="J120" t="inlineStr">
        <is>
          <t>WhatsApp</t>
        </is>
      </c>
      <c r="K120" t="inlineStr">
        <is>
          <t>Terminée</t>
        </is>
      </c>
    </row>
    <row r="121">
      <c r="A121" t="inlineStr">
        <is>
          <t>L-00120</t>
        </is>
      </c>
      <c r="B121" t="inlineStr">
        <is>
          <t>95936-H-1</t>
        </is>
      </c>
      <c r="C121" t="inlineStr">
        <is>
          <t>AE653640</t>
        </is>
      </c>
      <c r="D121" s="4" t="n">
        <v>460</v>
      </c>
      <c r="E121" s="5" t="n">
        <v>46224</v>
      </c>
      <c r="F121" s="5" t="n">
        <v>46231</v>
      </c>
      <c r="G121">
        <f>MAX(1,F121-E121)</f>
        <v/>
      </c>
      <c r="H121" s="4">
        <f>D121*G121</f>
        <v/>
      </c>
      <c r="I121">
        <f>IF(TODAY()&lt;E121,"À venir",IF(TODAY()&lt;F121,"En cours","Terminée"))</f>
        <v/>
      </c>
      <c r="J121" t="inlineStr">
        <is>
          <t>WhatsApp</t>
        </is>
      </c>
      <c r="K121" t="inlineStr">
        <is>
          <t>Terminée</t>
        </is>
      </c>
    </row>
    <row r="122">
      <c r="A122" t="inlineStr">
        <is>
          <t>L-00121</t>
        </is>
      </c>
      <c r="B122" t="inlineStr">
        <is>
          <t>71302-W-1</t>
        </is>
      </c>
      <c r="C122" t="inlineStr">
        <is>
          <t>AE982041</t>
        </is>
      </c>
      <c r="D122" s="4" t="n">
        <v>400</v>
      </c>
      <c r="E122" s="5" t="n">
        <v>46225</v>
      </c>
      <c r="F122" s="5" t="n">
        <v>46246</v>
      </c>
      <c r="G122">
        <f>MAX(1,F122-E122)</f>
        <v/>
      </c>
      <c r="H122" s="4">
        <f>D122*G122</f>
        <v/>
      </c>
      <c r="I122">
        <f>IF(TODAY()&lt;E122,"À venir",IF(TODAY()&lt;F122,"En cours","Terminée"))</f>
        <v/>
      </c>
      <c r="J122" t="inlineStr">
        <is>
          <t>WhatsApp</t>
        </is>
      </c>
      <c r="K122" t="inlineStr">
        <is>
          <t>Terminée</t>
        </is>
      </c>
    </row>
    <row r="123">
      <c r="A123" t="inlineStr">
        <is>
          <t>L-00122</t>
        </is>
      </c>
      <c r="B123" t="inlineStr">
        <is>
          <t>81442-B-1</t>
        </is>
      </c>
      <c r="C123" t="inlineStr">
        <is>
          <t>BE789842</t>
        </is>
      </c>
      <c r="D123" s="4" t="n">
        <v>450</v>
      </c>
      <c r="E123" s="5" t="n">
        <v>46225</v>
      </c>
      <c r="F123" s="5" t="n">
        <v>46230</v>
      </c>
      <c r="G123">
        <f>MAX(1,F123-E123)</f>
        <v/>
      </c>
      <c r="H123" s="4">
        <f>D123*G123</f>
        <v/>
      </c>
      <c r="I123">
        <f>IF(TODAY()&lt;E123,"À venir",IF(TODAY()&lt;F123,"En cours","Terminée"))</f>
        <v/>
      </c>
      <c r="J123" t="inlineStr">
        <is>
          <t>Téléphone</t>
        </is>
      </c>
      <c r="K123" t="inlineStr">
        <is>
          <t>Terminée</t>
        </is>
      </c>
    </row>
    <row r="124">
      <c r="A124" t="inlineStr">
        <is>
          <t>L-00123</t>
        </is>
      </c>
      <c r="B124" t="inlineStr">
        <is>
          <t>83373-B-1</t>
        </is>
      </c>
      <c r="C124" t="inlineStr">
        <is>
          <t>BE418225</t>
        </is>
      </c>
      <c r="D124" s="4" t="n">
        <v>310</v>
      </c>
      <c r="E124" s="5" t="n">
        <v>46225</v>
      </c>
      <c r="F124" s="5" t="n">
        <v>46246</v>
      </c>
      <c r="G124">
        <f>MAX(1,F124-E124)</f>
        <v/>
      </c>
      <c r="H124" s="4">
        <f>D124*G124</f>
        <v/>
      </c>
      <c r="I124">
        <f>IF(TODAY()&lt;E124,"À venir",IF(TODAY()&lt;F124,"En cours","Terminée"))</f>
        <v/>
      </c>
      <c r="J124" t="inlineStr">
        <is>
          <t>WhatsApp</t>
        </is>
      </c>
      <c r="K124" t="inlineStr">
        <is>
          <t>Terminée</t>
        </is>
      </c>
    </row>
    <row r="125">
      <c r="A125" t="inlineStr">
        <is>
          <t>L-00124</t>
        </is>
      </c>
      <c r="B125" t="inlineStr">
        <is>
          <t>85684-A-1</t>
        </is>
      </c>
      <c r="C125" t="inlineStr">
        <is>
          <t>BE636382</t>
        </is>
      </c>
      <c r="D125" s="4" t="n">
        <v>260</v>
      </c>
      <c r="E125" s="5" t="n">
        <v>46225</v>
      </c>
      <c r="F125" s="5" t="n">
        <v>46232</v>
      </c>
      <c r="G125">
        <f>MAX(1,F125-E125)</f>
        <v/>
      </c>
      <c r="H125" s="4">
        <f>D125*G125</f>
        <v/>
      </c>
      <c r="I125">
        <f>IF(TODAY()&lt;E125,"À venir",IF(TODAY()&lt;F125,"En cours","Terminée"))</f>
        <v/>
      </c>
      <c r="J125" t="inlineStr">
        <is>
          <t>WhatsApp</t>
        </is>
      </c>
      <c r="K125" t="inlineStr">
        <is>
          <t>Terminée</t>
        </is>
      </c>
    </row>
    <row r="126">
      <c r="A126" t="inlineStr">
        <is>
          <t>L-00125</t>
        </is>
      </c>
      <c r="B126" t="inlineStr">
        <is>
          <t>88778-A-1</t>
        </is>
      </c>
      <c r="C126" t="inlineStr">
        <is>
          <t>AA411366</t>
        </is>
      </c>
      <c r="D126" s="4" t="n">
        <v>260</v>
      </c>
      <c r="E126" s="5" t="n">
        <v>46225</v>
      </c>
      <c r="F126" s="5" t="n">
        <v>46230</v>
      </c>
      <c r="G126">
        <f>MAX(1,F126-E126)</f>
        <v/>
      </c>
      <c r="H126" s="4">
        <f>D126*G126</f>
        <v/>
      </c>
      <c r="I126">
        <f>IF(TODAY()&lt;E126,"À venir",IF(TODAY()&lt;F126,"En cours","Terminée"))</f>
        <v/>
      </c>
      <c r="J126" t="inlineStr">
        <is>
          <t>Booking.com</t>
        </is>
      </c>
      <c r="K126" t="inlineStr">
        <is>
          <t>Terminée</t>
        </is>
      </c>
    </row>
    <row r="127">
      <c r="A127" t="inlineStr">
        <is>
          <t>L-00126</t>
        </is>
      </c>
      <c r="B127" t="inlineStr">
        <is>
          <t>54616-W-1</t>
        </is>
      </c>
      <c r="C127" t="inlineStr">
        <is>
          <t>AD526949</t>
        </is>
      </c>
      <c r="D127" s="4" t="n">
        <v>220</v>
      </c>
      <c r="E127" s="5" t="n">
        <v>46226</v>
      </c>
      <c r="F127" s="5" t="n">
        <v>46231</v>
      </c>
      <c r="G127">
        <f>MAX(1,F127-E127)</f>
        <v/>
      </c>
      <c r="H127" s="4">
        <f>D127*G127</f>
        <v/>
      </c>
      <c r="I127">
        <f>IF(TODAY()&lt;E127,"À venir",IF(TODAY()&lt;F127,"En cours","Terminée"))</f>
        <v/>
      </c>
      <c r="J127" t="inlineStr">
        <is>
          <t>Site web</t>
        </is>
      </c>
      <c r="K127" t="inlineStr">
        <is>
          <t>Terminée</t>
        </is>
      </c>
    </row>
    <row r="128">
      <c r="A128" t="inlineStr">
        <is>
          <t>L-00127</t>
        </is>
      </c>
      <c r="B128" t="inlineStr">
        <is>
          <t>96667-D-1</t>
        </is>
      </c>
      <c r="C128" t="inlineStr">
        <is>
          <t>A8270991</t>
        </is>
      </c>
      <c r="D128" s="4" t="n">
        <v>1030</v>
      </c>
      <c r="E128" s="5" t="n">
        <v>46226</v>
      </c>
      <c r="F128" s="5" t="n">
        <v>46228</v>
      </c>
      <c r="G128">
        <f>MAX(1,F128-E128)</f>
        <v/>
      </c>
      <c r="H128" s="4">
        <f>D128*G128</f>
        <v/>
      </c>
      <c r="I128">
        <f>IF(TODAY()&lt;E128,"À venir",IF(TODAY()&lt;F128,"En cours","Terminée"))</f>
        <v/>
      </c>
      <c r="J128" t="inlineStr">
        <is>
          <t>Téléphone</t>
        </is>
      </c>
      <c r="K128" t="inlineStr">
        <is>
          <t>Terminée</t>
        </is>
      </c>
    </row>
    <row r="129">
      <c r="A129" t="inlineStr">
        <is>
          <t>L-00128</t>
        </is>
      </c>
      <c r="B129" t="inlineStr">
        <is>
          <t>97018-A-1</t>
        </is>
      </c>
      <c r="C129" t="inlineStr">
        <is>
          <t>G1943814</t>
        </is>
      </c>
      <c r="D129" s="4" t="n">
        <v>390</v>
      </c>
      <c r="E129" s="5" t="n">
        <v>46226</v>
      </c>
      <c r="F129" s="5" t="n">
        <v>46236</v>
      </c>
      <c r="G129">
        <f>MAX(1,F129-E129)</f>
        <v/>
      </c>
      <c r="H129" s="4">
        <f>D129*G129</f>
        <v/>
      </c>
      <c r="I129">
        <f>IF(TODAY()&lt;E129,"À venir",IF(TODAY()&lt;F129,"En cours","Terminée"))</f>
        <v/>
      </c>
      <c r="J129" t="inlineStr">
        <is>
          <t>Booking.com</t>
        </is>
      </c>
      <c r="K129" t="inlineStr">
        <is>
          <t>Terminée</t>
        </is>
      </c>
    </row>
    <row r="130">
      <c r="A130" t="inlineStr">
        <is>
          <t>L-00129</t>
        </is>
      </c>
      <c r="B130" t="inlineStr">
        <is>
          <t>21066-H-1</t>
        </is>
      </c>
      <c r="C130" t="inlineStr">
        <is>
          <t>G1943814</t>
        </is>
      </c>
      <c r="D130" s="4" t="n">
        <v>620</v>
      </c>
      <c r="E130" s="5" t="n">
        <v>46227</v>
      </c>
      <c r="F130" s="5" t="n">
        <v>46232</v>
      </c>
      <c r="G130">
        <f>MAX(1,F130-E130)</f>
        <v/>
      </c>
      <c r="H130" s="4">
        <f>D130*G130</f>
        <v/>
      </c>
      <c r="I130">
        <f>IF(TODAY()&lt;E130,"À venir",IF(TODAY()&lt;F130,"En cours","Terminée"))</f>
        <v/>
      </c>
      <c r="J130" t="inlineStr">
        <is>
          <t>Téléphone</t>
        </is>
      </c>
      <c r="K130" t="inlineStr">
        <is>
          <t>Terminée</t>
        </is>
      </c>
    </row>
    <row r="131">
      <c r="A131" t="inlineStr">
        <is>
          <t>L-00130</t>
        </is>
      </c>
      <c r="B131" t="inlineStr">
        <is>
          <t>22394-A-1</t>
        </is>
      </c>
      <c r="C131" t="inlineStr">
        <is>
          <t>AA866521</t>
        </is>
      </c>
      <c r="D131" s="4" t="n">
        <v>410</v>
      </c>
      <c r="E131" s="5" t="n">
        <v>46227</v>
      </c>
      <c r="F131" s="5" t="n">
        <v>46229</v>
      </c>
      <c r="G131">
        <f>MAX(1,F131-E131)</f>
        <v/>
      </c>
      <c r="H131" s="4">
        <f>D131*G131</f>
        <v/>
      </c>
      <c r="I131">
        <f>IF(TODAY()&lt;E131,"À venir",IF(TODAY()&lt;F131,"En cours","Terminée"))</f>
        <v/>
      </c>
      <c r="J131" t="inlineStr">
        <is>
          <t>WhatsApp</t>
        </is>
      </c>
      <c r="K131" t="inlineStr">
        <is>
          <t>Terminée</t>
        </is>
      </c>
    </row>
    <row r="132">
      <c r="A132" t="inlineStr">
        <is>
          <t>L-00131</t>
        </is>
      </c>
      <c r="B132" t="inlineStr">
        <is>
          <t>49965-H-1</t>
        </is>
      </c>
      <c r="C132" t="inlineStr">
        <is>
          <t>AE201114</t>
        </is>
      </c>
      <c r="D132" s="4" t="n">
        <v>1130</v>
      </c>
      <c r="E132" s="5" t="n">
        <v>46227</v>
      </c>
      <c r="F132" s="5" t="n">
        <v>46232</v>
      </c>
      <c r="G132">
        <f>MAX(1,F132-E132)</f>
        <v/>
      </c>
      <c r="H132" s="4">
        <f>D132*G132</f>
        <v/>
      </c>
      <c r="I132">
        <f>IF(TODAY()&lt;E132,"À venir",IF(TODAY()&lt;F132,"En cours","Terminée"))</f>
        <v/>
      </c>
      <c r="J132" t="inlineStr">
        <is>
          <t>Instagram</t>
        </is>
      </c>
      <c r="K132" t="inlineStr">
        <is>
          <t>Terminée</t>
        </is>
      </c>
    </row>
    <row r="133">
      <c r="A133" t="inlineStr">
        <is>
          <t>L-00132</t>
        </is>
      </c>
      <c r="B133" t="inlineStr">
        <is>
          <t>71994-D-1</t>
        </is>
      </c>
      <c r="C133" t="inlineStr">
        <is>
          <t>G6378219</t>
        </is>
      </c>
      <c r="D133" s="4" t="n">
        <v>660</v>
      </c>
      <c r="E133" s="5" t="n">
        <v>46227</v>
      </c>
      <c r="F133" s="5" t="n">
        <v>46232</v>
      </c>
      <c r="G133">
        <f>MAX(1,F133-E133)</f>
        <v/>
      </c>
      <c r="H133" s="4">
        <f>D133*G133</f>
        <v/>
      </c>
      <c r="I133">
        <f>IF(TODAY()&lt;E133,"À venir",IF(TODAY()&lt;F133,"En cours","Terminée"))</f>
        <v/>
      </c>
      <c r="J133" t="inlineStr">
        <is>
          <t>Instagram</t>
        </is>
      </c>
      <c r="K133" t="inlineStr">
        <is>
          <t>Terminée</t>
        </is>
      </c>
    </row>
    <row r="134">
      <c r="A134" t="inlineStr">
        <is>
          <t>L-00133</t>
        </is>
      </c>
      <c r="B134" t="inlineStr">
        <is>
          <t>85272-B-1</t>
        </is>
      </c>
      <c r="C134" t="inlineStr">
        <is>
          <t>DA377046</t>
        </is>
      </c>
      <c r="D134" s="4" t="n">
        <v>540</v>
      </c>
      <c r="E134" s="5" t="n">
        <v>46227</v>
      </c>
      <c r="F134" s="5" t="n">
        <v>46234</v>
      </c>
      <c r="G134">
        <f>MAX(1,F134-E134)</f>
        <v/>
      </c>
      <c r="H134" s="4">
        <f>D134*G134</f>
        <v/>
      </c>
      <c r="I134">
        <f>IF(TODAY()&lt;E134,"À venir",IF(TODAY()&lt;F134,"En cours","Terminée"))</f>
        <v/>
      </c>
      <c r="J134" t="inlineStr">
        <is>
          <t>Site web</t>
        </is>
      </c>
      <c r="K134" t="inlineStr">
        <is>
          <t>Terminée</t>
        </is>
      </c>
    </row>
    <row r="135">
      <c r="A135" t="inlineStr">
        <is>
          <t>L-00134</t>
        </is>
      </c>
      <c r="B135" t="inlineStr">
        <is>
          <t>88664-D-1</t>
        </is>
      </c>
      <c r="C135" t="inlineStr">
        <is>
          <t>AD107657</t>
        </is>
      </c>
      <c r="D135" s="4" t="n">
        <v>390</v>
      </c>
      <c r="E135" s="5" t="n">
        <v>46227</v>
      </c>
      <c r="F135" s="5" t="n">
        <v>46232</v>
      </c>
      <c r="G135">
        <f>MAX(1,F135-E135)</f>
        <v/>
      </c>
      <c r="H135" s="4">
        <f>D135*G135</f>
        <v/>
      </c>
      <c r="I135">
        <f>IF(TODAY()&lt;E135,"À venir",IF(TODAY()&lt;F135,"En cours","Terminée"))</f>
        <v/>
      </c>
      <c r="J135" t="inlineStr">
        <is>
          <t>WhatsApp</t>
        </is>
      </c>
      <c r="K135" t="inlineStr">
        <is>
          <t>Terminée</t>
        </is>
      </c>
    </row>
    <row r="136">
      <c r="A136" t="inlineStr">
        <is>
          <t>L-00135</t>
        </is>
      </c>
      <c r="B136" t="inlineStr">
        <is>
          <t>91702-H-1</t>
        </is>
      </c>
      <c r="C136" t="inlineStr">
        <is>
          <t>DA228644</t>
        </is>
      </c>
      <c r="D136" s="4" t="n">
        <v>1040</v>
      </c>
      <c r="E136" s="5" t="n">
        <v>46227</v>
      </c>
      <c r="F136" s="5" t="n">
        <v>46230</v>
      </c>
      <c r="G136">
        <f>MAX(1,F136-E136)</f>
        <v/>
      </c>
      <c r="H136" s="4">
        <f>D136*G136</f>
        <v/>
      </c>
      <c r="I136">
        <f>IF(TODAY()&lt;E136,"À venir",IF(TODAY()&lt;F136,"En cours","Terminée"))</f>
        <v/>
      </c>
      <c r="J136" t="inlineStr">
        <is>
          <t>Comptoir</t>
        </is>
      </c>
      <c r="K136" t="inlineStr">
        <is>
          <t>Terminée</t>
        </is>
      </c>
    </row>
    <row r="137">
      <c r="A137" t="inlineStr">
        <is>
          <t>L-00136</t>
        </is>
      </c>
      <c r="B137" t="inlineStr">
        <is>
          <t>97618-A-1</t>
        </is>
      </c>
      <c r="C137" t="inlineStr">
        <is>
          <t>G1385180</t>
        </is>
      </c>
      <c r="D137" s="4" t="n">
        <v>460</v>
      </c>
      <c r="E137" s="5" t="n">
        <v>46227</v>
      </c>
      <c r="F137" s="5" t="n">
        <v>46241</v>
      </c>
      <c r="G137">
        <f>MAX(1,F137-E137)</f>
        <v/>
      </c>
      <c r="H137" s="4">
        <f>D137*G137</f>
        <v/>
      </c>
      <c r="I137">
        <f>IF(TODAY()&lt;E137,"À venir",IF(TODAY()&lt;F137,"En cours","Terminée"))</f>
        <v/>
      </c>
      <c r="J137" t="inlineStr">
        <is>
          <t>Comptoir</t>
        </is>
      </c>
      <c r="K137" t="inlineStr">
        <is>
          <t>Terminée</t>
        </is>
      </c>
    </row>
    <row r="138">
      <c r="A138" t="inlineStr">
        <is>
          <t>L-00137</t>
        </is>
      </c>
      <c r="B138" t="inlineStr">
        <is>
          <t>35623-W-1</t>
        </is>
      </c>
      <c r="C138" t="inlineStr">
        <is>
          <t>A5775553</t>
        </is>
      </c>
      <c r="D138" s="4" t="n">
        <v>1360</v>
      </c>
      <c r="E138" s="5" t="n">
        <v>46228</v>
      </c>
      <c r="F138" s="5" t="n">
        <v>46242</v>
      </c>
      <c r="G138">
        <f>MAX(1,F138-E138)</f>
        <v/>
      </c>
      <c r="H138" s="4">
        <f>D138*G138</f>
        <v/>
      </c>
      <c r="I138">
        <f>IF(TODAY()&lt;E138,"À venir",IF(TODAY()&lt;F138,"En cours","Terminée"))</f>
        <v/>
      </c>
      <c r="J138" t="inlineStr">
        <is>
          <t>Booking.com</t>
        </is>
      </c>
      <c r="K138" t="inlineStr">
        <is>
          <t>Terminée</t>
        </is>
      </c>
    </row>
    <row r="139">
      <c r="A139" t="inlineStr">
        <is>
          <t>L-00138</t>
        </is>
      </c>
      <c r="B139" t="inlineStr">
        <is>
          <t>62268-B-1</t>
        </is>
      </c>
      <c r="C139" t="inlineStr">
        <is>
          <t>AD666466</t>
        </is>
      </c>
      <c r="D139" s="4" t="n">
        <v>300</v>
      </c>
      <c r="E139" s="5" t="n">
        <v>46228</v>
      </c>
      <c r="F139" s="5" t="n">
        <v>46242</v>
      </c>
      <c r="G139">
        <f>MAX(1,F139-E139)</f>
        <v/>
      </c>
      <c r="H139" s="4">
        <f>D139*G139</f>
        <v/>
      </c>
      <c r="I139">
        <f>IF(TODAY()&lt;E139,"À venir",IF(TODAY()&lt;F139,"En cours","Terminée"))</f>
        <v/>
      </c>
      <c r="J139" t="inlineStr">
        <is>
          <t>WhatsApp</t>
        </is>
      </c>
      <c r="K139" t="inlineStr">
        <is>
          <t>Terminée</t>
        </is>
      </c>
    </row>
    <row r="140">
      <c r="A140" t="inlineStr">
        <is>
          <t>L-00139</t>
        </is>
      </c>
      <c r="B140" t="inlineStr">
        <is>
          <t>75329-D-1</t>
        </is>
      </c>
      <c r="C140" t="inlineStr">
        <is>
          <t>A4430872</t>
        </is>
      </c>
      <c r="D140" s="4" t="n">
        <v>510</v>
      </c>
      <c r="E140" s="5" t="n">
        <v>46228</v>
      </c>
      <c r="F140" s="5" t="n">
        <v>46235</v>
      </c>
      <c r="G140">
        <f>MAX(1,F140-E140)</f>
        <v/>
      </c>
      <c r="H140" s="4">
        <f>D140*G140</f>
        <v/>
      </c>
      <c r="I140">
        <f>IF(TODAY()&lt;E140,"À venir",IF(TODAY()&lt;F140,"En cours","Terminée"))</f>
        <v/>
      </c>
      <c r="J140" t="inlineStr">
        <is>
          <t>WhatsApp</t>
        </is>
      </c>
      <c r="K140" t="inlineStr">
        <is>
          <t>Terminée</t>
        </is>
      </c>
    </row>
    <row r="141">
      <c r="A141" t="inlineStr">
        <is>
          <t>L-00140</t>
        </is>
      </c>
      <c r="B141" t="inlineStr">
        <is>
          <t>84923-D-1</t>
        </is>
      </c>
      <c r="C141" t="inlineStr">
        <is>
          <t>G1948412</t>
        </is>
      </c>
      <c r="D141" s="4" t="n">
        <v>630</v>
      </c>
      <c r="E141" s="5" t="n">
        <v>46228</v>
      </c>
      <c r="F141" s="5" t="n">
        <v>46242</v>
      </c>
      <c r="G141">
        <f>MAX(1,F141-E141)</f>
        <v/>
      </c>
      <c r="H141" s="4">
        <f>D141*G141</f>
        <v/>
      </c>
      <c r="I141">
        <f>IF(TODAY()&lt;E141,"À venir",IF(TODAY()&lt;F141,"En cours","Terminée"))</f>
        <v/>
      </c>
      <c r="J141" t="inlineStr">
        <is>
          <t>Téléphone</t>
        </is>
      </c>
      <c r="K141" t="inlineStr">
        <is>
          <t>Terminée</t>
        </is>
      </c>
    </row>
    <row r="142">
      <c r="A142" t="inlineStr">
        <is>
          <t>L-00141</t>
        </is>
      </c>
      <c r="B142" t="inlineStr">
        <is>
          <t>72769-D-1</t>
        </is>
      </c>
      <c r="C142" t="inlineStr">
        <is>
          <t>A9203288</t>
        </is>
      </c>
      <c r="D142" s="4" t="n">
        <v>220</v>
      </c>
      <c r="E142" s="5" t="n">
        <v>46229</v>
      </c>
      <c r="F142" s="5" t="n">
        <v>46232</v>
      </c>
      <c r="G142">
        <f>MAX(1,F142-E142)</f>
        <v/>
      </c>
      <c r="H142" s="4">
        <f>D142*G142</f>
        <v/>
      </c>
      <c r="I142">
        <f>IF(TODAY()&lt;E142,"À venir",IF(TODAY()&lt;F142,"En cours","Terminée"))</f>
        <v/>
      </c>
      <c r="J142" t="inlineStr">
        <is>
          <t>WhatsApp</t>
        </is>
      </c>
      <c r="K142" t="inlineStr">
        <is>
          <t>Terminée</t>
        </is>
      </c>
    </row>
    <row r="143">
      <c r="A143" t="inlineStr">
        <is>
          <t>L-00142</t>
        </is>
      </c>
      <c r="B143" t="inlineStr">
        <is>
          <t>76545-W-1</t>
        </is>
      </c>
      <c r="C143" t="inlineStr">
        <is>
          <t>PA4829847</t>
        </is>
      </c>
      <c r="D143" s="4" t="n">
        <v>790</v>
      </c>
      <c r="E143" s="5" t="n">
        <v>46229</v>
      </c>
      <c r="F143" s="5" t="n">
        <v>46234</v>
      </c>
      <c r="G143">
        <f>MAX(1,F143-E143)</f>
        <v/>
      </c>
      <c r="H143" s="4">
        <f>D143*G143</f>
        <v/>
      </c>
      <c r="I143">
        <f>IF(TODAY()&lt;E143,"À venir",IF(TODAY()&lt;F143,"En cours","Terminée"))</f>
        <v/>
      </c>
      <c r="J143" t="inlineStr">
        <is>
          <t>Booking.com</t>
        </is>
      </c>
      <c r="K143" t="inlineStr">
        <is>
          <t>Terminée</t>
        </is>
      </c>
    </row>
    <row r="144">
      <c r="A144" t="inlineStr">
        <is>
          <t>L-00143</t>
        </is>
      </c>
      <c r="B144" t="inlineStr">
        <is>
          <t>22080-H-1</t>
        </is>
      </c>
      <c r="C144" t="inlineStr">
        <is>
          <t>FR5469938</t>
        </is>
      </c>
      <c r="D144" s="4" t="n">
        <v>330</v>
      </c>
      <c r="E144" s="5" t="n">
        <v>46230</v>
      </c>
      <c r="F144" s="5" t="n">
        <v>46240</v>
      </c>
      <c r="G144">
        <f>MAX(1,F144-E144)</f>
        <v/>
      </c>
      <c r="H144" s="4">
        <f>D144*G144</f>
        <v/>
      </c>
      <c r="I144">
        <f>IF(TODAY()&lt;E144,"À venir",IF(TODAY()&lt;F144,"En cours","Terminée"))</f>
        <v/>
      </c>
      <c r="J144" t="inlineStr">
        <is>
          <t>WhatsApp</t>
        </is>
      </c>
      <c r="K144" t="inlineStr">
        <is>
          <t>Terminée</t>
        </is>
      </c>
    </row>
    <row r="145">
      <c r="A145" t="inlineStr">
        <is>
          <t>L-00144</t>
        </is>
      </c>
      <c r="B145" t="inlineStr">
        <is>
          <t>22394-A-1</t>
        </is>
      </c>
      <c r="C145" t="inlineStr">
        <is>
          <t>G4386520</t>
        </is>
      </c>
      <c r="D145" s="4" t="n">
        <v>400</v>
      </c>
      <c r="E145" s="5" t="n">
        <v>46230</v>
      </c>
      <c r="F145" s="5" t="n">
        <v>46235</v>
      </c>
      <c r="G145">
        <f>MAX(1,F145-E145)</f>
        <v/>
      </c>
      <c r="H145" s="4">
        <f>D145*G145</f>
        <v/>
      </c>
      <c r="I145">
        <f>IF(TODAY()&lt;E145,"À venir",IF(TODAY()&lt;F145,"En cours","Terminée"))</f>
        <v/>
      </c>
      <c r="J145" t="inlineStr">
        <is>
          <t>Facebook</t>
        </is>
      </c>
      <c r="K145" t="inlineStr">
        <is>
          <t>Terminée</t>
        </is>
      </c>
    </row>
    <row r="146">
      <c r="A146" t="inlineStr">
        <is>
          <t>L-00145</t>
        </is>
      </c>
      <c r="B146" t="inlineStr">
        <is>
          <t>69221-A-1</t>
        </is>
      </c>
      <c r="C146" t="inlineStr">
        <is>
          <t>DA264765</t>
        </is>
      </c>
      <c r="D146" s="4" t="n">
        <v>1370</v>
      </c>
      <c r="E146" s="5" t="n">
        <v>46230</v>
      </c>
      <c r="F146" s="5" t="n">
        <v>46235</v>
      </c>
      <c r="G146">
        <f>MAX(1,F146-E146)</f>
        <v/>
      </c>
      <c r="H146" s="4">
        <f>D146*G146</f>
        <v/>
      </c>
      <c r="I146">
        <f>IF(TODAY()&lt;E146,"À venir",IF(TODAY()&lt;F146,"En cours","Terminée"))</f>
        <v/>
      </c>
      <c r="J146" t="inlineStr">
        <is>
          <t>Site web</t>
        </is>
      </c>
      <c r="K146" t="inlineStr">
        <is>
          <t>Terminée</t>
        </is>
      </c>
    </row>
    <row r="147">
      <c r="A147" t="inlineStr">
        <is>
          <t>L-00146</t>
        </is>
      </c>
      <c r="B147" t="inlineStr">
        <is>
          <t>96667-D-1</t>
        </is>
      </c>
      <c r="C147" t="inlineStr">
        <is>
          <t>G5643699</t>
        </is>
      </c>
      <c r="D147" s="4" t="n">
        <v>1010</v>
      </c>
      <c r="E147" s="5" t="n">
        <v>46230</v>
      </c>
      <c r="F147" s="5" t="n">
        <v>46232</v>
      </c>
      <c r="G147">
        <f>MAX(1,F147-E147)</f>
        <v/>
      </c>
      <c r="H147" s="4">
        <f>D147*G147</f>
        <v/>
      </c>
      <c r="I147">
        <f>IF(TODAY()&lt;E147,"À venir",IF(TODAY()&lt;F147,"En cours","Terminée"))</f>
        <v/>
      </c>
      <c r="J147" t="inlineStr">
        <is>
          <t>Site web</t>
        </is>
      </c>
      <c r="K147" t="inlineStr">
        <is>
          <t>Terminée</t>
        </is>
      </c>
    </row>
    <row r="148">
      <c r="A148" t="inlineStr">
        <is>
          <t>L-00147</t>
        </is>
      </c>
      <c r="B148" t="inlineStr">
        <is>
          <t>25835-W-1</t>
        </is>
      </c>
      <c r="C148" t="inlineStr">
        <is>
          <t>G1948412</t>
        </is>
      </c>
      <c r="D148" s="4" t="n">
        <v>580</v>
      </c>
      <c r="E148" s="5" t="n">
        <v>46231</v>
      </c>
      <c r="F148" s="5" t="n">
        <v>46233</v>
      </c>
      <c r="G148">
        <f>MAX(1,F148-E148)</f>
        <v/>
      </c>
      <c r="H148" s="4">
        <f>D148*G148</f>
        <v/>
      </c>
      <c r="I148">
        <f>IF(TODAY()&lt;E148,"À venir",IF(TODAY()&lt;F148,"En cours","Terminée"))</f>
        <v/>
      </c>
      <c r="J148" t="inlineStr">
        <is>
          <t>WhatsApp</t>
        </is>
      </c>
      <c r="K148" t="inlineStr">
        <is>
          <t>Terminée</t>
        </is>
      </c>
    </row>
    <row r="149">
      <c r="A149" t="inlineStr">
        <is>
          <t>L-00148</t>
        </is>
      </c>
      <c r="B149" t="inlineStr">
        <is>
          <t>47649-D-1</t>
        </is>
      </c>
      <c r="C149" t="inlineStr">
        <is>
          <t>EE225893</t>
        </is>
      </c>
      <c r="D149" s="4" t="n">
        <v>300</v>
      </c>
      <c r="E149" s="5" t="n">
        <v>46231</v>
      </c>
      <c r="F149" s="5" t="n">
        <v>46234</v>
      </c>
      <c r="G149">
        <f>MAX(1,F149-E149)</f>
        <v/>
      </c>
      <c r="H149" s="4">
        <f>D149*G149</f>
        <v/>
      </c>
      <c r="I149">
        <f>IF(TODAY()&lt;E149,"À venir",IF(TODAY()&lt;F149,"En cours","Terminée"))</f>
        <v/>
      </c>
      <c r="J149" t="inlineStr">
        <is>
          <t>Booking.com</t>
        </is>
      </c>
      <c r="K149" t="inlineStr">
        <is>
          <t>Terminée</t>
        </is>
      </c>
    </row>
    <row r="150">
      <c r="A150" t="inlineStr">
        <is>
          <t>L-00149</t>
        </is>
      </c>
      <c r="B150" t="inlineStr">
        <is>
          <t>81442-B-1</t>
        </is>
      </c>
      <c r="C150" t="inlineStr">
        <is>
          <t>G9409777</t>
        </is>
      </c>
      <c r="D150" s="4" t="n">
        <v>470</v>
      </c>
      <c r="E150" s="5" t="n">
        <v>46231</v>
      </c>
      <c r="F150" s="5" t="n">
        <v>46234</v>
      </c>
      <c r="G150">
        <f>MAX(1,F150-E150)</f>
        <v/>
      </c>
      <c r="H150" s="4">
        <f>D150*G150</f>
        <v/>
      </c>
      <c r="I150">
        <f>IF(TODAY()&lt;E150,"À venir",IF(TODAY()&lt;F150,"En cours","Terminée"))</f>
        <v/>
      </c>
      <c r="J150" t="inlineStr">
        <is>
          <t>Facebook</t>
        </is>
      </c>
      <c r="K150" t="inlineStr">
        <is>
          <t>Terminée</t>
        </is>
      </c>
    </row>
    <row r="151">
      <c r="A151" t="inlineStr">
        <is>
          <t>L-00150</t>
        </is>
      </c>
      <c r="B151" t="inlineStr">
        <is>
          <t>88778-A-1</t>
        </is>
      </c>
      <c r="C151" t="inlineStr">
        <is>
          <t>EE942083</t>
        </is>
      </c>
      <c r="D151" s="4" t="n">
        <v>260</v>
      </c>
      <c r="E151" s="5" t="n">
        <v>46231</v>
      </c>
      <c r="F151" s="5" t="n">
        <v>46234</v>
      </c>
      <c r="G151">
        <f>MAX(1,F151-E151)</f>
        <v/>
      </c>
      <c r="H151" s="4">
        <f>D151*G151</f>
        <v/>
      </c>
      <c r="I151">
        <f>IF(TODAY()&lt;E151,"À venir",IF(TODAY()&lt;F151,"En cours","Terminée"))</f>
        <v/>
      </c>
      <c r="J151" t="inlineStr">
        <is>
          <t>WhatsApp</t>
        </is>
      </c>
      <c r="K151" t="inlineStr">
        <is>
          <t>Terminée</t>
        </is>
      </c>
    </row>
    <row r="152">
      <c r="A152" t="inlineStr">
        <is>
          <t>L-00151</t>
        </is>
      </c>
      <c r="B152" t="inlineStr">
        <is>
          <t>54616-W-1</t>
        </is>
      </c>
      <c r="C152" t="inlineStr">
        <is>
          <t>CD176711</t>
        </is>
      </c>
      <c r="D152" s="4" t="n">
        <v>210</v>
      </c>
      <c r="E152" s="5" t="n">
        <v>46232</v>
      </c>
      <c r="F152" s="5" t="n">
        <v>46235</v>
      </c>
      <c r="G152">
        <f>MAX(1,F152-E152)</f>
        <v/>
      </c>
      <c r="H152" s="4">
        <f>D152*G152</f>
        <v/>
      </c>
      <c r="I152">
        <f>IF(TODAY()&lt;E152,"À venir",IF(TODAY()&lt;F152,"En cours","Terminée"))</f>
        <v/>
      </c>
      <c r="J152" t="inlineStr">
        <is>
          <t>Instagram</t>
        </is>
      </c>
      <c r="K152" t="inlineStr">
        <is>
          <t>Terminée</t>
        </is>
      </c>
    </row>
    <row r="153">
      <c r="A153" t="inlineStr">
        <is>
          <t>L-00152</t>
        </is>
      </c>
      <c r="B153" t="inlineStr">
        <is>
          <t>62064-H-1</t>
        </is>
      </c>
      <c r="C153" t="inlineStr">
        <is>
          <t>AA206428</t>
        </is>
      </c>
      <c r="D153" s="4" t="n">
        <v>360</v>
      </c>
      <c r="E153" s="5" t="n">
        <v>46232</v>
      </c>
      <c r="F153" s="5" t="n">
        <v>46234</v>
      </c>
      <c r="G153">
        <f>MAX(1,F153-E153)</f>
        <v/>
      </c>
      <c r="H153" s="4">
        <f>D153*G153</f>
        <v/>
      </c>
      <c r="I153">
        <f>IF(TODAY()&lt;E153,"À venir",IF(TODAY()&lt;F153,"En cours","Terminée"))</f>
        <v/>
      </c>
      <c r="J153" t="inlineStr">
        <is>
          <t>Comptoir</t>
        </is>
      </c>
      <c r="K153" t="inlineStr">
        <is>
          <t>Terminée</t>
        </is>
      </c>
    </row>
    <row r="154">
      <c r="A154" t="inlineStr">
        <is>
          <t>L-00153</t>
        </is>
      </c>
      <c r="B154" t="inlineStr">
        <is>
          <t>91702-H-1</t>
        </is>
      </c>
      <c r="C154" t="inlineStr">
        <is>
          <t>A4430872</t>
        </is>
      </c>
      <c r="D154" s="4" t="n">
        <v>890</v>
      </c>
      <c r="E154" s="5" t="n">
        <v>46232</v>
      </c>
      <c r="F154" s="5" t="n">
        <v>46242</v>
      </c>
      <c r="G154">
        <f>MAX(1,F154-E154)</f>
        <v/>
      </c>
      <c r="H154" s="4">
        <f>D154*G154</f>
        <v/>
      </c>
      <c r="I154">
        <f>IF(TODAY()&lt;E154,"À venir",IF(TODAY()&lt;F154,"En cours","Terminée"))</f>
        <v/>
      </c>
      <c r="J154" t="inlineStr">
        <is>
          <t>WhatsApp</t>
        </is>
      </c>
      <c r="K154" t="inlineStr">
        <is>
          <t>Terminée</t>
        </is>
      </c>
    </row>
    <row r="155">
      <c r="A155" t="inlineStr">
        <is>
          <t>L-00154</t>
        </is>
      </c>
      <c r="B155" t="inlineStr">
        <is>
          <t>95936-H-1</t>
        </is>
      </c>
      <c r="C155" t="inlineStr">
        <is>
          <t>DA377046</t>
        </is>
      </c>
      <c r="D155" s="4" t="n">
        <v>420</v>
      </c>
      <c r="E155" s="5" t="n">
        <v>46232</v>
      </c>
      <c r="F155" s="5" t="n">
        <v>46246</v>
      </c>
      <c r="G155">
        <f>MAX(1,F155-E155)</f>
        <v/>
      </c>
      <c r="H155" s="4">
        <f>D155*G155</f>
        <v/>
      </c>
      <c r="I155">
        <f>IF(TODAY()&lt;E155,"À venir",IF(TODAY()&lt;F155,"En cours","Terminée"))</f>
        <v/>
      </c>
      <c r="J155" t="inlineStr">
        <is>
          <t>WhatsApp</t>
        </is>
      </c>
      <c r="K155" t="inlineStr">
        <is>
          <t>Terminée</t>
        </is>
      </c>
    </row>
    <row r="156">
      <c r="A156" t="inlineStr">
        <is>
          <t>L-00155</t>
        </is>
      </c>
      <c r="B156" t="inlineStr">
        <is>
          <t>21066-H-1</t>
        </is>
      </c>
      <c r="C156" t="inlineStr">
        <is>
          <t>EE317790</t>
        </is>
      </c>
      <c r="D156" s="4" t="n">
        <v>640</v>
      </c>
      <c r="E156" s="5" t="n">
        <v>46233</v>
      </c>
      <c r="F156" s="5" t="n">
        <v>46238</v>
      </c>
      <c r="G156">
        <f>MAX(1,F156-E156)</f>
        <v/>
      </c>
      <c r="H156" s="4">
        <f>D156*G156</f>
        <v/>
      </c>
      <c r="I156">
        <f>IF(TODAY()&lt;E156,"À venir",IF(TODAY()&lt;F156,"En cours","Terminée"))</f>
        <v/>
      </c>
      <c r="J156" t="inlineStr">
        <is>
          <t>Téléphone</t>
        </is>
      </c>
      <c r="K156" t="inlineStr">
        <is>
          <t>Terminée</t>
        </is>
      </c>
    </row>
    <row r="157">
      <c r="A157" t="inlineStr">
        <is>
          <t>L-00156</t>
        </is>
      </c>
      <c r="B157" t="inlineStr">
        <is>
          <t>49965-H-1</t>
        </is>
      </c>
      <c r="C157" t="inlineStr">
        <is>
          <t>AB849143</t>
        </is>
      </c>
      <c r="D157" s="4" t="n">
        <v>1160</v>
      </c>
      <c r="E157" s="5" t="n">
        <v>46233</v>
      </c>
      <c r="F157" s="5" t="n">
        <v>46236</v>
      </c>
      <c r="G157">
        <f>MAX(1,F157-E157)</f>
        <v/>
      </c>
      <c r="H157" s="4">
        <f>D157*G157</f>
        <v/>
      </c>
      <c r="I157">
        <f>IF(TODAY()&lt;E157,"À venir",IF(TODAY()&lt;F157,"En cours","Terminée"))</f>
        <v/>
      </c>
      <c r="J157" t="inlineStr">
        <is>
          <t>WhatsApp</t>
        </is>
      </c>
      <c r="K157" t="inlineStr">
        <is>
          <t>Terminée</t>
        </is>
      </c>
    </row>
    <row r="158">
      <c r="A158" t="inlineStr">
        <is>
          <t>L-00157</t>
        </is>
      </c>
      <c r="B158" t="inlineStr">
        <is>
          <t>69873-A-1</t>
        </is>
      </c>
      <c r="C158" t="inlineStr">
        <is>
          <t>CD416695</t>
        </is>
      </c>
      <c r="D158" s="4" t="n">
        <v>380</v>
      </c>
      <c r="E158" s="5" t="n">
        <v>46233</v>
      </c>
      <c r="F158" s="5" t="n">
        <v>46236</v>
      </c>
      <c r="G158">
        <f>MAX(1,F158-E158)</f>
        <v/>
      </c>
      <c r="H158" s="4">
        <f>D158*G158</f>
        <v/>
      </c>
      <c r="I158">
        <f>IF(TODAY()&lt;E158,"À venir",IF(TODAY()&lt;F158,"En cours","Terminée"))</f>
        <v/>
      </c>
      <c r="J158" t="inlineStr">
        <is>
          <t>WhatsApp</t>
        </is>
      </c>
      <c r="K158" t="inlineStr">
        <is>
          <t>Terminée</t>
        </is>
      </c>
    </row>
    <row r="159">
      <c r="A159" t="inlineStr">
        <is>
          <t>L-00158</t>
        </is>
      </c>
      <c r="B159" t="inlineStr">
        <is>
          <t>71994-D-1</t>
        </is>
      </c>
      <c r="C159" t="inlineStr">
        <is>
          <t>PA7788001</t>
        </is>
      </c>
      <c r="D159" s="4" t="n">
        <v>620</v>
      </c>
      <c r="E159" s="5" t="n">
        <v>46233</v>
      </c>
      <c r="F159" s="5" t="n">
        <v>46240</v>
      </c>
      <c r="G159">
        <f>MAX(1,F159-E159)</f>
        <v/>
      </c>
      <c r="H159" s="4">
        <f>D159*G159</f>
        <v/>
      </c>
      <c r="I159">
        <f>IF(TODAY()&lt;E159,"À venir",IF(TODAY()&lt;F159,"En cours","Terminée"))</f>
        <v/>
      </c>
      <c r="J159" t="inlineStr">
        <is>
          <t>Booking.com</t>
        </is>
      </c>
      <c r="K159" t="inlineStr">
        <is>
          <t>Terminée</t>
        </is>
      </c>
    </row>
    <row r="160">
      <c r="A160" t="inlineStr">
        <is>
          <t>L-00159</t>
        </is>
      </c>
      <c r="B160" t="inlineStr">
        <is>
          <t>72769-D-1</t>
        </is>
      </c>
      <c r="C160" t="inlineStr">
        <is>
          <t>DA850793</t>
        </is>
      </c>
      <c r="D160" s="4" t="n">
        <v>220</v>
      </c>
      <c r="E160" s="5" t="n">
        <v>46233</v>
      </c>
      <c r="F160" s="5" t="n">
        <v>46238</v>
      </c>
      <c r="G160">
        <f>MAX(1,F160-E160)</f>
        <v/>
      </c>
      <c r="H160" s="4">
        <f>D160*G160</f>
        <v/>
      </c>
      <c r="I160">
        <f>IF(TODAY()&lt;E160,"À venir",IF(TODAY()&lt;F160,"En cours","Terminée"))</f>
        <v/>
      </c>
      <c r="J160" t="inlineStr">
        <is>
          <t>Facebook</t>
        </is>
      </c>
      <c r="K160" t="inlineStr">
        <is>
          <t>Terminée</t>
        </is>
      </c>
    </row>
    <row r="161">
      <c r="A161" t="inlineStr">
        <is>
          <t>L-00160</t>
        </is>
      </c>
      <c r="B161" t="inlineStr">
        <is>
          <t>85684-A-1</t>
        </is>
      </c>
      <c r="C161" t="inlineStr">
        <is>
          <t>A9849560</t>
        </is>
      </c>
      <c r="D161" s="4" t="n">
        <v>260</v>
      </c>
      <c r="E161" s="5" t="n">
        <v>46233</v>
      </c>
      <c r="F161" s="5" t="n">
        <v>46243</v>
      </c>
      <c r="G161">
        <f>MAX(1,F161-E161)</f>
        <v/>
      </c>
      <c r="H161" s="4">
        <f>D161*G161</f>
        <v/>
      </c>
      <c r="I161">
        <f>IF(TODAY()&lt;E161,"À venir",IF(TODAY()&lt;F161,"En cours","Terminée"))</f>
        <v/>
      </c>
      <c r="J161" t="inlineStr">
        <is>
          <t>WhatsApp</t>
        </is>
      </c>
      <c r="K161" t="inlineStr">
        <is>
          <t>Terminée</t>
        </is>
      </c>
    </row>
    <row r="162">
      <c r="A162" t="inlineStr">
        <is>
          <t>L-00161</t>
        </is>
      </c>
      <c r="B162" t="inlineStr">
        <is>
          <t>88664-D-1</t>
        </is>
      </c>
      <c r="C162" t="inlineStr">
        <is>
          <t>DA763793</t>
        </is>
      </c>
      <c r="D162" s="4" t="n">
        <v>340</v>
      </c>
      <c r="E162" s="5" t="n">
        <v>46233</v>
      </c>
      <c r="F162" s="5" t="n">
        <v>46240</v>
      </c>
      <c r="G162">
        <f>MAX(1,F162-E162)</f>
        <v/>
      </c>
      <c r="H162" s="4">
        <f>D162*G162</f>
        <v/>
      </c>
      <c r="I162">
        <f>IF(TODAY()&lt;E162,"À venir",IF(TODAY()&lt;F162,"En cours","Terminée"))</f>
        <v/>
      </c>
      <c r="J162" t="inlineStr">
        <is>
          <t>Site web</t>
        </is>
      </c>
      <c r="K162" t="inlineStr">
        <is>
          <t>Terminée</t>
        </is>
      </c>
    </row>
    <row r="163">
      <c r="A163" t="inlineStr">
        <is>
          <t>L-00162</t>
        </is>
      </c>
      <c r="B163" t="inlineStr">
        <is>
          <t>96667-D-1</t>
        </is>
      </c>
      <c r="C163" t="inlineStr">
        <is>
          <t>DA228644</t>
        </is>
      </c>
      <c r="D163" s="4" t="n">
        <v>920</v>
      </c>
      <c r="E163" s="5" t="n">
        <v>46233</v>
      </c>
      <c r="F163" s="5" t="n">
        <v>46243</v>
      </c>
      <c r="G163">
        <f>MAX(1,F163-E163)</f>
        <v/>
      </c>
      <c r="H163" s="4">
        <f>D163*G163</f>
        <v/>
      </c>
      <c r="I163">
        <f>IF(TODAY()&lt;E163,"À venir",IF(TODAY()&lt;F163,"En cours","Terminée"))</f>
        <v/>
      </c>
      <c r="J163" t="inlineStr">
        <is>
          <t>Facebook</t>
        </is>
      </c>
      <c r="K163" t="inlineStr">
        <is>
          <t>Terminée</t>
        </is>
      </c>
    </row>
    <row r="164">
      <c r="A164" t="inlineStr">
        <is>
          <t>L-00163</t>
        </is>
      </c>
      <c r="B164" t="inlineStr">
        <is>
          <t>25835-W-1</t>
        </is>
      </c>
      <c r="C164" t="inlineStr">
        <is>
          <t>BE789842</t>
        </is>
      </c>
      <c r="D164" s="4" t="n">
        <v>570</v>
      </c>
      <c r="E164" s="5" t="n">
        <v>46234</v>
      </c>
      <c r="F164" s="5" t="n">
        <v>46241</v>
      </c>
      <c r="G164">
        <f>MAX(1,F164-E164)</f>
        <v/>
      </c>
      <c r="H164" s="4">
        <f>D164*G164</f>
        <v/>
      </c>
      <c r="I164">
        <f>IF(TODAY()&lt;E164,"À venir",IF(TODAY()&lt;F164,"En cours","Terminée"))</f>
        <v/>
      </c>
      <c r="J164" t="inlineStr">
        <is>
          <t>Site web</t>
        </is>
      </c>
      <c r="K164" t="inlineStr">
        <is>
          <t>Terminée</t>
        </is>
      </c>
    </row>
    <row r="165">
      <c r="A165" t="inlineStr">
        <is>
          <t>L-00164</t>
        </is>
      </c>
      <c r="B165" t="inlineStr">
        <is>
          <t>94626-B-1</t>
        </is>
      </c>
      <c r="C165" t="inlineStr">
        <is>
          <t>AE982041</t>
        </is>
      </c>
      <c r="D165" s="4" t="n">
        <v>1100</v>
      </c>
      <c r="E165" s="5" t="n">
        <v>46234</v>
      </c>
      <c r="F165" s="5" t="n">
        <v>46236</v>
      </c>
      <c r="G165">
        <f>MAX(1,F165-E165)</f>
        <v/>
      </c>
      <c r="H165" s="4">
        <f>D165*G165</f>
        <v/>
      </c>
      <c r="I165">
        <f>IF(TODAY()&lt;E165,"À venir",IF(TODAY()&lt;F165,"En cours","Terminée"))</f>
        <v/>
      </c>
      <c r="J165" t="inlineStr">
        <is>
          <t>Site web</t>
        </is>
      </c>
      <c r="K165" t="inlineStr">
        <is>
          <t>Terminée</t>
        </is>
      </c>
    </row>
    <row r="166">
      <c r="A166" t="inlineStr">
        <is>
          <t>L-00165</t>
        </is>
      </c>
      <c r="B166" t="inlineStr">
        <is>
          <t>62064-H-1</t>
        </is>
      </c>
      <c r="C166" t="inlineStr">
        <is>
          <t>AD854214</t>
        </is>
      </c>
      <c r="D166" s="4" t="n">
        <v>330</v>
      </c>
      <c r="E166" s="5" t="n">
        <v>46235</v>
      </c>
      <c r="F166" s="5" t="n">
        <v>46249</v>
      </c>
      <c r="G166">
        <f>MAX(1,F166-E166)</f>
        <v/>
      </c>
      <c r="H166" s="4">
        <f>D166*G166</f>
        <v/>
      </c>
      <c r="I166">
        <f>IF(TODAY()&lt;E166,"À venir",IF(TODAY()&lt;F166,"En cours","Terminée"))</f>
        <v/>
      </c>
      <c r="J166" t="inlineStr">
        <is>
          <t>Instagram</t>
        </is>
      </c>
      <c r="K166" t="inlineStr">
        <is>
          <t>Terminée</t>
        </is>
      </c>
    </row>
    <row r="167">
      <c r="A167" t="inlineStr">
        <is>
          <t>L-00166</t>
        </is>
      </c>
      <c r="B167" t="inlineStr">
        <is>
          <t>76545-W-1</t>
        </is>
      </c>
      <c r="C167" t="inlineStr">
        <is>
          <t>XK2924569</t>
        </is>
      </c>
      <c r="D167" s="4" t="n">
        <v>810</v>
      </c>
      <c r="E167" s="5" t="n">
        <v>46235</v>
      </c>
      <c r="F167" s="5" t="n">
        <v>46237</v>
      </c>
      <c r="G167">
        <f>MAX(1,F167-E167)</f>
        <v/>
      </c>
      <c r="H167" s="4">
        <f>D167*G167</f>
        <v/>
      </c>
      <c r="I167">
        <f>IF(TODAY()&lt;E167,"À venir",IF(TODAY()&lt;F167,"En cours","Terminée"))</f>
        <v/>
      </c>
      <c r="J167" t="inlineStr">
        <is>
          <t>Comptoir</t>
        </is>
      </c>
      <c r="K167" t="inlineStr">
        <is>
          <t>Terminée</t>
        </is>
      </c>
    </row>
    <row r="168">
      <c r="A168" t="inlineStr">
        <is>
          <t>L-00167</t>
        </is>
      </c>
      <c r="B168" t="inlineStr">
        <is>
          <t>76897-B-1</t>
        </is>
      </c>
      <c r="C168" t="inlineStr">
        <is>
          <t>AD633832</t>
        </is>
      </c>
      <c r="D168" s="4" t="n">
        <v>660</v>
      </c>
      <c r="E168" s="5" t="n">
        <v>46235</v>
      </c>
      <c r="F168" s="5" t="n">
        <v>46238</v>
      </c>
      <c r="G168">
        <f>MAX(1,F168-E168)</f>
        <v/>
      </c>
      <c r="H168" s="4">
        <f>D168*G168</f>
        <v/>
      </c>
      <c r="I168">
        <f>IF(TODAY()&lt;E168,"À venir",IF(TODAY()&lt;F168,"En cours","Terminée"))</f>
        <v/>
      </c>
      <c r="J168" t="inlineStr">
        <is>
          <t>Booking.com</t>
        </is>
      </c>
      <c r="K168" t="inlineStr">
        <is>
          <t>Terminée</t>
        </is>
      </c>
    </row>
    <row r="169">
      <c r="A169" t="inlineStr">
        <is>
          <t>L-00168</t>
        </is>
      </c>
      <c r="B169" t="inlineStr">
        <is>
          <t>81442-B-1</t>
        </is>
      </c>
      <c r="C169" t="inlineStr">
        <is>
          <t>CD232629</t>
        </is>
      </c>
      <c r="D169" s="4" t="n">
        <v>490</v>
      </c>
      <c r="E169" s="5" t="n">
        <v>46235</v>
      </c>
      <c r="F169" s="5" t="n">
        <v>46240</v>
      </c>
      <c r="G169">
        <f>MAX(1,F169-E169)</f>
        <v/>
      </c>
      <c r="H169" s="4">
        <f>D169*G169</f>
        <v/>
      </c>
      <c r="I169">
        <f>IF(TODAY()&lt;E169,"À venir",IF(TODAY()&lt;F169,"En cours","Terminée"))</f>
        <v/>
      </c>
      <c r="J169" t="inlineStr">
        <is>
          <t>WhatsApp</t>
        </is>
      </c>
      <c r="K169" t="inlineStr">
        <is>
          <t>Terminée</t>
        </is>
      </c>
    </row>
    <row r="170">
      <c r="A170" t="inlineStr">
        <is>
          <t>L-00169</t>
        </is>
      </c>
      <c r="B170" t="inlineStr">
        <is>
          <t>85272-B-1</t>
        </is>
      </c>
      <c r="C170" t="inlineStr">
        <is>
          <t>CD550114</t>
        </is>
      </c>
      <c r="D170" s="4" t="n">
        <v>570</v>
      </c>
      <c r="E170" s="5" t="n">
        <v>46235</v>
      </c>
      <c r="F170" s="5" t="n">
        <v>46240</v>
      </c>
      <c r="G170">
        <f>MAX(1,F170-E170)</f>
        <v/>
      </c>
      <c r="H170" s="4">
        <f>D170*G170</f>
        <v/>
      </c>
      <c r="I170">
        <f>IF(TODAY()&lt;E170,"À venir",IF(TODAY()&lt;F170,"En cours","Terminée"))</f>
        <v/>
      </c>
      <c r="J170" t="inlineStr">
        <is>
          <t>Facebook</t>
        </is>
      </c>
      <c r="K170" t="inlineStr">
        <is>
          <t>Terminée</t>
        </is>
      </c>
    </row>
    <row r="171">
      <c r="A171" t="inlineStr">
        <is>
          <t>L-00170</t>
        </is>
      </c>
      <c r="B171" t="inlineStr">
        <is>
          <t>88778-A-1</t>
        </is>
      </c>
      <c r="C171" t="inlineStr">
        <is>
          <t>G1943814</t>
        </is>
      </c>
      <c r="D171" s="4" t="n">
        <v>230</v>
      </c>
      <c r="E171" s="5" t="n">
        <v>46235</v>
      </c>
      <c r="F171" s="5" t="n">
        <v>46249</v>
      </c>
      <c r="G171">
        <f>MAX(1,F171-E171)</f>
        <v/>
      </c>
      <c r="H171" s="4">
        <f>D171*G171</f>
        <v/>
      </c>
      <c r="I171">
        <f>IF(TODAY()&lt;E171,"À venir",IF(TODAY()&lt;F171,"En cours","Terminée"))</f>
        <v/>
      </c>
      <c r="J171" t="inlineStr">
        <is>
          <t>WhatsApp</t>
        </is>
      </c>
      <c r="K171" t="inlineStr">
        <is>
          <t>Terminée</t>
        </is>
      </c>
    </row>
    <row r="172">
      <c r="A172" t="inlineStr">
        <is>
          <t>L-00171</t>
        </is>
      </c>
      <c r="B172" t="inlineStr">
        <is>
          <t>22394-A-1</t>
        </is>
      </c>
      <c r="C172" t="inlineStr">
        <is>
          <t>EE739953</t>
        </is>
      </c>
      <c r="D172" s="4" t="n">
        <v>370</v>
      </c>
      <c r="E172" s="5" t="n">
        <v>46236</v>
      </c>
      <c r="F172" s="5" t="n">
        <v>46243</v>
      </c>
      <c r="G172">
        <f>MAX(1,F172-E172)</f>
        <v/>
      </c>
      <c r="H172" s="4">
        <f>D172*G172</f>
        <v/>
      </c>
      <c r="I172">
        <f>IF(TODAY()&lt;E172,"À venir",IF(TODAY()&lt;F172,"En cours","Terminée"))</f>
        <v/>
      </c>
      <c r="J172" t="inlineStr">
        <is>
          <t>Instagram</t>
        </is>
      </c>
      <c r="K172" t="inlineStr">
        <is>
          <t>Terminée</t>
        </is>
      </c>
    </row>
    <row r="173">
      <c r="A173" t="inlineStr">
        <is>
          <t>L-00172</t>
        </is>
      </c>
      <c r="B173" t="inlineStr">
        <is>
          <t>47649-D-1</t>
        </is>
      </c>
      <c r="C173" t="inlineStr">
        <is>
          <t>CD931756</t>
        </is>
      </c>
      <c r="D173" s="4" t="n">
        <v>330</v>
      </c>
      <c r="E173" s="5" t="n">
        <v>46236</v>
      </c>
      <c r="F173" s="5" t="n">
        <v>46239</v>
      </c>
      <c r="G173">
        <f>MAX(1,F173-E173)</f>
        <v/>
      </c>
      <c r="H173" s="4">
        <f>D173*G173</f>
        <v/>
      </c>
      <c r="I173">
        <f>IF(TODAY()&lt;E173,"À venir",IF(TODAY()&lt;F173,"En cours","Terminée"))</f>
        <v/>
      </c>
      <c r="J173" t="inlineStr">
        <is>
          <t>Facebook</t>
        </is>
      </c>
      <c r="K173" t="inlineStr">
        <is>
          <t>Terminée</t>
        </is>
      </c>
    </row>
    <row r="174">
      <c r="A174" t="inlineStr">
        <is>
          <t>L-00173</t>
        </is>
      </c>
      <c r="B174" t="inlineStr">
        <is>
          <t>54616-W-1</t>
        </is>
      </c>
      <c r="C174" t="inlineStr">
        <is>
          <t>CD516136</t>
        </is>
      </c>
      <c r="D174" s="4" t="n">
        <v>240</v>
      </c>
      <c r="E174" s="5" t="n">
        <v>46236</v>
      </c>
      <c r="F174" s="5" t="n">
        <v>46241</v>
      </c>
      <c r="G174">
        <f>MAX(1,F174-E174)</f>
        <v/>
      </c>
      <c r="H174" s="4">
        <f>D174*G174</f>
        <v/>
      </c>
      <c r="I174">
        <f>IF(TODAY()&lt;E174,"À venir",IF(TODAY()&lt;F174,"En cours","Terminée"))</f>
        <v/>
      </c>
      <c r="J174" t="inlineStr">
        <is>
          <t>WhatsApp</t>
        </is>
      </c>
      <c r="K174" t="inlineStr">
        <is>
          <t>Terminée</t>
        </is>
      </c>
    </row>
    <row r="175">
      <c r="A175" t="inlineStr">
        <is>
          <t>L-00174</t>
        </is>
      </c>
      <c r="B175" t="inlineStr">
        <is>
          <t>77893-H-1</t>
        </is>
      </c>
      <c r="C175" t="inlineStr">
        <is>
          <t>CD232629</t>
        </is>
      </c>
      <c r="D175" s="4" t="n">
        <v>290</v>
      </c>
      <c r="E175" s="5" t="n">
        <v>46236</v>
      </c>
      <c r="F175" s="5" t="n">
        <v>46250</v>
      </c>
      <c r="G175">
        <f>MAX(1,F175-E175)</f>
        <v/>
      </c>
      <c r="H175" s="4">
        <f>D175*G175</f>
        <v/>
      </c>
      <c r="I175">
        <f>IF(TODAY()&lt;E175,"À venir",IF(TODAY()&lt;F175,"En cours","Terminée"))</f>
        <v/>
      </c>
      <c r="J175" t="inlineStr">
        <is>
          <t>WhatsApp</t>
        </is>
      </c>
      <c r="K175" t="inlineStr">
        <is>
          <t>Terminée</t>
        </is>
      </c>
    </row>
    <row r="176">
      <c r="A176" t="inlineStr">
        <is>
          <t>L-00175</t>
        </is>
      </c>
      <c r="B176" t="inlineStr">
        <is>
          <t>33992-B-1</t>
        </is>
      </c>
      <c r="C176" t="inlineStr">
        <is>
          <t>BK193941</t>
        </is>
      </c>
      <c r="D176" s="4" t="n">
        <v>530</v>
      </c>
      <c r="E176" s="5" t="n">
        <v>46237</v>
      </c>
      <c r="F176" s="5" t="n">
        <v>46247</v>
      </c>
      <c r="G176">
        <f>MAX(1,F176-E176)</f>
        <v/>
      </c>
      <c r="H176" s="4">
        <f>D176*G176</f>
        <v/>
      </c>
      <c r="I176">
        <f>IF(TODAY()&lt;E176,"À venir",IF(TODAY()&lt;F176,"En cours","Terminée"))</f>
        <v/>
      </c>
      <c r="J176" t="inlineStr">
        <is>
          <t>Téléphone</t>
        </is>
      </c>
      <c r="K176" t="inlineStr">
        <is>
          <t>Terminée</t>
        </is>
      </c>
    </row>
    <row r="177">
      <c r="A177" t="inlineStr">
        <is>
          <t>L-00176</t>
        </is>
      </c>
      <c r="B177" t="inlineStr">
        <is>
          <t>49965-H-1</t>
        </is>
      </c>
      <c r="C177" t="inlineStr">
        <is>
          <t>EE109907</t>
        </is>
      </c>
      <c r="D177" s="4" t="n">
        <v>1130</v>
      </c>
      <c r="E177" s="5" t="n">
        <v>46237</v>
      </c>
      <c r="F177" s="5" t="n">
        <v>46240</v>
      </c>
      <c r="G177">
        <f>MAX(1,F177-E177)</f>
        <v/>
      </c>
      <c r="H177" s="4">
        <f>D177*G177</f>
        <v/>
      </c>
      <c r="I177">
        <f>IF(TODAY()&lt;E177,"À venir",IF(TODAY()&lt;F177,"En cours","Terminée"))</f>
        <v/>
      </c>
      <c r="J177" t="inlineStr">
        <is>
          <t>Instagram</t>
        </is>
      </c>
      <c r="K177" t="inlineStr">
        <is>
          <t>Terminée</t>
        </is>
      </c>
    </row>
    <row r="178">
      <c r="A178" t="inlineStr">
        <is>
          <t>L-00177</t>
        </is>
      </c>
      <c r="B178" t="inlineStr">
        <is>
          <t>69221-A-1</t>
        </is>
      </c>
      <c r="C178" t="inlineStr">
        <is>
          <t>G5212575</t>
        </is>
      </c>
      <c r="D178" s="4" t="n">
        <v>1430</v>
      </c>
      <c r="E178" s="5" t="n">
        <v>46237</v>
      </c>
      <c r="F178" s="5" t="n">
        <v>46241</v>
      </c>
      <c r="G178">
        <f>MAX(1,F178-E178)</f>
        <v/>
      </c>
      <c r="H178" s="4">
        <f>D178*G178</f>
        <v/>
      </c>
      <c r="I178">
        <f>IF(TODAY()&lt;E178,"À venir",IF(TODAY()&lt;F178,"En cours","Terminée"))</f>
        <v/>
      </c>
      <c r="J178" t="inlineStr">
        <is>
          <t>WhatsApp</t>
        </is>
      </c>
      <c r="K178" t="inlineStr">
        <is>
          <t>Terminée</t>
        </is>
      </c>
    </row>
    <row r="179">
      <c r="A179" t="inlineStr">
        <is>
          <t>L-00178</t>
        </is>
      </c>
      <c r="B179" t="inlineStr">
        <is>
          <t>69873-A-1</t>
        </is>
      </c>
      <c r="C179" t="inlineStr">
        <is>
          <t>AE442098</t>
        </is>
      </c>
      <c r="D179" s="4" t="n">
        <v>370</v>
      </c>
      <c r="E179" s="5" t="n">
        <v>46237</v>
      </c>
      <c r="F179" s="5" t="n">
        <v>46244</v>
      </c>
      <c r="G179">
        <f>MAX(1,F179-E179)</f>
        <v/>
      </c>
      <c r="H179" s="4">
        <f>D179*G179</f>
        <v/>
      </c>
      <c r="I179">
        <f>IF(TODAY()&lt;E179,"À venir",IF(TODAY()&lt;F179,"En cours","Terminée"))</f>
        <v/>
      </c>
      <c r="J179" t="inlineStr">
        <is>
          <t>WhatsApp</t>
        </is>
      </c>
      <c r="K179" t="inlineStr">
        <is>
          <t>Terminée</t>
        </is>
      </c>
    </row>
    <row r="180">
      <c r="A180" t="inlineStr">
        <is>
          <t>L-00179</t>
        </is>
      </c>
      <c r="B180" t="inlineStr">
        <is>
          <t>75329-D-1</t>
        </is>
      </c>
      <c r="C180" t="inlineStr">
        <is>
          <t>AD633832</t>
        </is>
      </c>
      <c r="D180" s="4" t="n">
        <v>560</v>
      </c>
      <c r="E180" s="5" t="n">
        <v>46237</v>
      </c>
      <c r="F180" s="5" t="n">
        <v>46244</v>
      </c>
      <c r="G180">
        <f>MAX(1,F180-E180)</f>
        <v/>
      </c>
      <c r="H180" s="4">
        <f>D180*G180</f>
        <v/>
      </c>
      <c r="I180">
        <f>IF(TODAY()&lt;E180,"À venir",IF(TODAY()&lt;F180,"En cours","Terminée"))</f>
        <v/>
      </c>
      <c r="J180" t="inlineStr">
        <is>
          <t>Booking.com</t>
        </is>
      </c>
      <c r="K180" t="inlineStr">
        <is>
          <t>Terminée</t>
        </is>
      </c>
    </row>
    <row r="181">
      <c r="A181" t="inlineStr">
        <is>
          <t>L-00180</t>
        </is>
      </c>
      <c r="B181" t="inlineStr">
        <is>
          <t>94626-B-1</t>
        </is>
      </c>
      <c r="C181" t="inlineStr">
        <is>
          <t>G5643699</t>
        </is>
      </c>
      <c r="D181" s="4" t="n">
        <v>1010</v>
      </c>
      <c r="E181" s="5" t="n">
        <v>46237</v>
      </c>
      <c r="F181" s="5" t="n">
        <v>46251</v>
      </c>
      <c r="G181">
        <f>MAX(1,F181-E181)</f>
        <v/>
      </c>
      <c r="H181" s="4">
        <f>D181*G181</f>
        <v/>
      </c>
      <c r="I181">
        <f>IF(TODAY()&lt;E181,"À venir",IF(TODAY()&lt;F181,"En cours","Terminée"))</f>
        <v/>
      </c>
      <c r="J181" t="inlineStr">
        <is>
          <t>WhatsApp</t>
        </is>
      </c>
      <c r="K181" t="inlineStr">
        <is>
          <t>Terminée</t>
        </is>
      </c>
    </row>
    <row r="182">
      <c r="A182" t="inlineStr">
        <is>
          <t>L-00181</t>
        </is>
      </c>
      <c r="B182" t="inlineStr">
        <is>
          <t>97018-A-1</t>
        </is>
      </c>
      <c r="C182" t="inlineStr">
        <is>
          <t>G7873623</t>
        </is>
      </c>
      <c r="D182" s="4" t="n">
        <v>400</v>
      </c>
      <c r="E182" s="5" t="n">
        <v>46237</v>
      </c>
      <c r="F182" s="5" t="n">
        <v>46251</v>
      </c>
      <c r="G182">
        <f>MAX(1,F182-E182)</f>
        <v/>
      </c>
      <c r="H182" s="4">
        <f>D182*G182</f>
        <v/>
      </c>
      <c r="I182">
        <f>IF(TODAY()&lt;E182,"À venir",IF(TODAY()&lt;F182,"En cours","Terminée"))</f>
        <v/>
      </c>
      <c r="J182" t="inlineStr">
        <is>
          <t>Instagram</t>
        </is>
      </c>
      <c r="K182" t="inlineStr">
        <is>
          <t>Terminée</t>
        </is>
      </c>
    </row>
    <row r="183">
      <c r="A183" t="inlineStr">
        <is>
          <t>L-00182</t>
        </is>
      </c>
      <c r="B183" t="inlineStr">
        <is>
          <t>76545-W-1</t>
        </is>
      </c>
      <c r="C183" t="inlineStr">
        <is>
          <t>DA794435</t>
        </is>
      </c>
      <c r="D183" s="4" t="n">
        <v>730</v>
      </c>
      <c r="E183" s="5" t="n">
        <v>46238</v>
      </c>
      <c r="F183" s="5" t="n">
        <v>46252</v>
      </c>
      <c r="G183">
        <f>MAX(1,F183-E183)</f>
        <v/>
      </c>
      <c r="H183" s="4">
        <f>D183*G183</f>
        <v/>
      </c>
      <c r="I183">
        <f>IF(TODAY()&lt;E183,"À venir",IF(TODAY()&lt;F183,"En cours","Terminée"))</f>
        <v/>
      </c>
      <c r="J183" t="inlineStr">
        <is>
          <t>Booking.com</t>
        </is>
      </c>
      <c r="K183" t="inlineStr">
        <is>
          <t>Terminée</t>
        </is>
      </c>
    </row>
    <row r="184">
      <c r="A184" t="inlineStr">
        <is>
          <t>L-00183</t>
        </is>
      </c>
      <c r="B184" t="inlineStr">
        <is>
          <t>21066-H-1</t>
        </is>
      </c>
      <c r="C184" t="inlineStr">
        <is>
          <t>CD232629</t>
        </is>
      </c>
      <c r="D184" s="4" t="n">
        <v>580</v>
      </c>
      <c r="E184" s="5" t="n">
        <v>46239</v>
      </c>
      <c r="F184" s="5" t="n">
        <v>46249</v>
      </c>
      <c r="G184">
        <f>MAX(1,F184-E184)</f>
        <v/>
      </c>
      <c r="H184" s="4">
        <f>D184*G184</f>
        <v/>
      </c>
      <c r="I184">
        <f>IF(TODAY()&lt;E184,"À venir",IF(TODAY()&lt;F184,"En cours","Terminée"))</f>
        <v/>
      </c>
      <c r="J184" t="inlineStr">
        <is>
          <t>Téléphone</t>
        </is>
      </c>
      <c r="K184" t="inlineStr">
        <is>
          <t>Terminée</t>
        </is>
      </c>
    </row>
    <row r="185">
      <c r="A185" t="inlineStr">
        <is>
          <t>L-00184</t>
        </is>
      </c>
      <c r="B185" t="inlineStr">
        <is>
          <t>72769-D-1</t>
        </is>
      </c>
      <c r="C185" t="inlineStr">
        <is>
          <t>EE136200</t>
        </is>
      </c>
      <c r="D185" s="4" t="n">
        <v>240</v>
      </c>
      <c r="E185" s="5" t="n">
        <v>46239</v>
      </c>
      <c r="F185" s="5" t="n">
        <v>46241</v>
      </c>
      <c r="G185">
        <f>MAX(1,F185-E185)</f>
        <v/>
      </c>
      <c r="H185" s="4">
        <f>D185*G185</f>
        <v/>
      </c>
      <c r="I185">
        <f>IF(TODAY()&lt;E185,"À venir",IF(TODAY()&lt;F185,"En cours","Terminée"))</f>
        <v/>
      </c>
      <c r="J185" t="inlineStr">
        <is>
          <t>Comptoir</t>
        </is>
      </c>
      <c r="K185" t="inlineStr">
        <is>
          <t>Terminée</t>
        </is>
      </c>
    </row>
    <row r="186">
      <c r="A186" t="inlineStr">
        <is>
          <t>L-00185</t>
        </is>
      </c>
      <c r="B186" t="inlineStr">
        <is>
          <t>76897-B-1</t>
        </is>
      </c>
      <c r="C186" t="inlineStr">
        <is>
          <t>AB452586</t>
        </is>
      </c>
      <c r="D186" s="4" t="n">
        <v>600</v>
      </c>
      <c r="E186" s="5" t="n">
        <v>46239</v>
      </c>
      <c r="F186" s="5" t="n">
        <v>46260</v>
      </c>
      <c r="G186">
        <f>MAX(1,F186-E186)</f>
        <v/>
      </c>
      <c r="H186" s="4">
        <f>D186*G186</f>
        <v/>
      </c>
      <c r="I186">
        <f>IF(TODAY()&lt;E186,"À venir",IF(TODAY()&lt;F186,"En cours","Terminée"))</f>
        <v/>
      </c>
      <c r="J186" t="inlineStr">
        <is>
          <t>Facebook</t>
        </is>
      </c>
      <c r="K186" t="inlineStr">
        <is>
          <t>Terminée</t>
        </is>
      </c>
    </row>
    <row r="187">
      <c r="A187" t="inlineStr">
        <is>
          <t>L-00186</t>
        </is>
      </c>
      <c r="B187" t="inlineStr">
        <is>
          <t>47649-D-1</t>
        </is>
      </c>
      <c r="C187" t="inlineStr">
        <is>
          <t>EE211678</t>
        </is>
      </c>
      <c r="D187" s="4" t="n">
        <v>340</v>
      </c>
      <c r="E187" s="5" t="n">
        <v>46240</v>
      </c>
      <c r="F187" s="5" t="n">
        <v>46244</v>
      </c>
      <c r="G187">
        <f>MAX(1,F187-E187)</f>
        <v/>
      </c>
      <c r="H187" s="4">
        <f>D187*G187</f>
        <v/>
      </c>
      <c r="I187">
        <f>IF(TODAY()&lt;E187,"À venir",IF(TODAY()&lt;F187,"En cours","Terminée"))</f>
        <v/>
      </c>
      <c r="J187" t="inlineStr">
        <is>
          <t>WhatsApp</t>
        </is>
      </c>
      <c r="K187" t="inlineStr">
        <is>
          <t>Terminée</t>
        </is>
      </c>
    </row>
    <row r="188">
      <c r="A188" t="inlineStr">
        <is>
          <t>L-00187</t>
        </is>
      </c>
      <c r="B188" t="inlineStr">
        <is>
          <t>74343-B-1</t>
        </is>
      </c>
      <c r="C188" t="inlineStr">
        <is>
          <t>GB4672197</t>
        </is>
      </c>
      <c r="D188" s="4" t="n">
        <v>310</v>
      </c>
      <c r="E188" s="5" t="n">
        <v>46240</v>
      </c>
      <c r="F188" s="5" t="n">
        <v>46243</v>
      </c>
      <c r="G188">
        <f>MAX(1,F188-E188)</f>
        <v/>
      </c>
      <c r="H188" s="4">
        <f>D188*G188</f>
        <v/>
      </c>
      <c r="I188">
        <f>IF(TODAY()&lt;E188,"À venir",IF(TODAY()&lt;F188,"En cours","Terminée"))</f>
        <v/>
      </c>
      <c r="J188" t="inlineStr">
        <is>
          <t>Booking.com</t>
        </is>
      </c>
      <c r="K188" t="inlineStr">
        <is>
          <t>Terminée</t>
        </is>
      </c>
    </row>
    <row r="189">
      <c r="A189" t="inlineStr">
        <is>
          <t>L-00188</t>
        </is>
      </c>
      <c r="B189" t="inlineStr">
        <is>
          <t>22080-H-1</t>
        </is>
      </c>
      <c r="C189" t="inlineStr">
        <is>
          <t>A4430872</t>
        </is>
      </c>
      <c r="D189" s="4" t="n">
        <v>340</v>
      </c>
      <c r="E189" s="5" t="n">
        <v>46241</v>
      </c>
      <c r="F189" s="5" t="n">
        <v>46255</v>
      </c>
      <c r="G189">
        <f>MAX(1,F189-E189)</f>
        <v/>
      </c>
      <c r="H189" s="4">
        <f>D189*G189</f>
        <v/>
      </c>
      <c r="I189">
        <f>IF(TODAY()&lt;E189,"À venir",IF(TODAY()&lt;F189,"En cours","Terminée"))</f>
        <v/>
      </c>
      <c r="J189" t="inlineStr">
        <is>
          <t>Instagram</t>
        </is>
      </c>
      <c r="K189" t="inlineStr">
        <is>
          <t>Terminée</t>
        </is>
      </c>
    </row>
    <row r="190">
      <c r="A190" t="inlineStr">
        <is>
          <t>L-00189</t>
        </is>
      </c>
      <c r="B190" t="inlineStr">
        <is>
          <t>49965-H-1</t>
        </is>
      </c>
      <c r="C190" t="inlineStr">
        <is>
          <t>A4460128</t>
        </is>
      </c>
      <c r="D190" s="4" t="n">
        <v>1230</v>
      </c>
      <c r="E190" s="5" t="n">
        <v>46241</v>
      </c>
      <c r="F190" s="5" t="n">
        <v>46244</v>
      </c>
      <c r="G190">
        <f>MAX(1,F190-E190)</f>
        <v/>
      </c>
      <c r="H190" s="4">
        <f>D190*G190</f>
        <v/>
      </c>
      <c r="I190">
        <f>IF(TODAY()&lt;E190,"À venir",IF(TODAY()&lt;F190,"En cours","Terminée"))</f>
        <v/>
      </c>
      <c r="J190" t="inlineStr">
        <is>
          <t>WhatsApp</t>
        </is>
      </c>
      <c r="K190" t="inlineStr">
        <is>
          <t>Terminée</t>
        </is>
      </c>
    </row>
    <row r="191">
      <c r="A191" t="inlineStr">
        <is>
          <t>L-00190</t>
        </is>
      </c>
      <c r="B191" t="inlineStr">
        <is>
          <t>81442-B-1</t>
        </is>
      </c>
      <c r="C191" t="inlineStr">
        <is>
          <t>DA621970</t>
        </is>
      </c>
      <c r="D191" s="4" t="n">
        <v>520</v>
      </c>
      <c r="E191" s="5" t="n">
        <v>46241</v>
      </c>
      <c r="F191" s="5" t="n">
        <v>46246</v>
      </c>
      <c r="G191">
        <f>MAX(1,F191-E191)</f>
        <v/>
      </c>
      <c r="H191" s="4">
        <f>D191*G191</f>
        <v/>
      </c>
      <c r="I191">
        <f>IF(TODAY()&lt;E191,"À venir",IF(TODAY()&lt;F191,"En cours","Terminée"))</f>
        <v/>
      </c>
      <c r="J191" t="inlineStr">
        <is>
          <t>Comptoir</t>
        </is>
      </c>
      <c r="K191" t="inlineStr">
        <is>
          <t>Terminée</t>
        </is>
      </c>
    </row>
    <row r="192">
      <c r="A192" t="inlineStr">
        <is>
          <t>L-00191</t>
        </is>
      </c>
      <c r="B192" t="inlineStr">
        <is>
          <t>85272-B-1</t>
        </is>
      </c>
      <c r="C192" t="inlineStr">
        <is>
          <t>EE211678</t>
        </is>
      </c>
      <c r="D192" s="4" t="n">
        <v>560</v>
      </c>
      <c r="E192" s="5" t="n">
        <v>46241</v>
      </c>
      <c r="F192" s="5" t="n">
        <v>46248</v>
      </c>
      <c r="G192">
        <f>MAX(1,F192-E192)</f>
        <v/>
      </c>
      <c r="H192" s="4">
        <f>D192*G192</f>
        <v/>
      </c>
      <c r="I192">
        <f>IF(TODAY()&lt;E192,"À venir",IF(TODAY()&lt;F192,"En cours","Terminée"))</f>
        <v/>
      </c>
      <c r="J192" t="inlineStr">
        <is>
          <t>WhatsApp</t>
        </is>
      </c>
      <c r="K192" t="inlineStr">
        <is>
          <t>Terminée</t>
        </is>
      </c>
    </row>
    <row r="193">
      <c r="A193" t="inlineStr">
        <is>
          <t>L-00192</t>
        </is>
      </c>
      <c r="B193" t="inlineStr">
        <is>
          <t>88664-D-1</t>
        </is>
      </c>
      <c r="C193" t="inlineStr">
        <is>
          <t>CD516136</t>
        </is>
      </c>
      <c r="D193" s="4" t="n">
        <v>360</v>
      </c>
      <c r="E193" s="5" t="n">
        <v>46241</v>
      </c>
      <c r="F193" s="5" t="n">
        <v>46255</v>
      </c>
      <c r="G193">
        <f>MAX(1,F193-E193)</f>
        <v/>
      </c>
      <c r="H193" s="4">
        <f>D193*G193</f>
        <v/>
      </c>
      <c r="I193">
        <f>IF(TODAY()&lt;E193,"À venir",IF(TODAY()&lt;F193,"En cours","Terminée"))</f>
        <v/>
      </c>
      <c r="J193" t="inlineStr">
        <is>
          <t>Site web</t>
        </is>
      </c>
      <c r="K193" t="inlineStr">
        <is>
          <t>Terminée</t>
        </is>
      </c>
    </row>
    <row r="194">
      <c r="A194" t="inlineStr">
        <is>
          <t>L-00193</t>
        </is>
      </c>
      <c r="B194" t="inlineStr">
        <is>
          <t>25835-W-1</t>
        </is>
      </c>
      <c r="C194" t="inlineStr">
        <is>
          <t>AB8443832</t>
        </is>
      </c>
      <c r="D194" s="4" t="n">
        <v>630</v>
      </c>
      <c r="E194" s="5" t="n">
        <v>46242</v>
      </c>
      <c r="F194" s="5" t="n">
        <v>46244</v>
      </c>
      <c r="G194">
        <f>MAX(1,F194-E194)</f>
        <v/>
      </c>
      <c r="H194" s="4">
        <f>D194*G194</f>
        <v/>
      </c>
      <c r="I194">
        <f>IF(TODAY()&lt;E194,"À venir",IF(TODAY()&lt;F194,"En cours","Terminée"))</f>
        <v/>
      </c>
      <c r="J194" t="inlineStr">
        <is>
          <t>WhatsApp</t>
        </is>
      </c>
      <c r="K194" t="inlineStr">
        <is>
          <t>Terminée</t>
        </is>
      </c>
    </row>
    <row r="195">
      <c r="A195" t="inlineStr">
        <is>
          <t>L-00194</t>
        </is>
      </c>
      <c r="B195" t="inlineStr">
        <is>
          <t>54616-W-1</t>
        </is>
      </c>
      <c r="C195" t="inlineStr">
        <is>
          <t>A4430872</t>
        </is>
      </c>
      <c r="D195" s="4" t="n">
        <v>220</v>
      </c>
      <c r="E195" s="5" t="n">
        <v>46242</v>
      </c>
      <c r="F195" s="5" t="n">
        <v>46249</v>
      </c>
      <c r="G195">
        <f>MAX(1,F195-E195)</f>
        <v/>
      </c>
      <c r="H195" s="4">
        <f>D195*G195</f>
        <v/>
      </c>
      <c r="I195">
        <f>IF(TODAY()&lt;E195,"À venir",IF(TODAY()&lt;F195,"En cours","Terminée"))</f>
        <v/>
      </c>
      <c r="J195" t="inlineStr">
        <is>
          <t>Téléphone</t>
        </is>
      </c>
      <c r="K195" t="inlineStr">
        <is>
          <t>Terminée</t>
        </is>
      </c>
    </row>
    <row r="196">
      <c r="A196" t="inlineStr">
        <is>
          <t>L-00195</t>
        </is>
      </c>
      <c r="B196" t="inlineStr">
        <is>
          <t>69221-A-1</t>
        </is>
      </c>
      <c r="C196" t="inlineStr">
        <is>
          <t>A9371075</t>
        </is>
      </c>
      <c r="D196" s="4" t="n">
        <v>1430</v>
      </c>
      <c r="E196" s="5" t="n">
        <v>46242</v>
      </c>
      <c r="F196" s="5" t="n">
        <v>46247</v>
      </c>
      <c r="G196">
        <f>MAX(1,F196-E196)</f>
        <v/>
      </c>
      <c r="H196" s="4">
        <f>D196*G196</f>
        <v/>
      </c>
      <c r="I196">
        <f>IF(TODAY()&lt;E196,"À venir",IF(TODAY()&lt;F196,"En cours","Terminée"))</f>
        <v/>
      </c>
      <c r="J196" t="inlineStr">
        <is>
          <t>Instagram</t>
        </is>
      </c>
      <c r="K196" t="inlineStr">
        <is>
          <t>Terminée</t>
        </is>
      </c>
    </row>
    <row r="197">
      <c r="A197" t="inlineStr">
        <is>
          <t>L-00196</t>
        </is>
      </c>
      <c r="B197" t="inlineStr">
        <is>
          <t>71994-D-1</t>
        </is>
      </c>
      <c r="C197" t="inlineStr">
        <is>
          <t>BE997756</t>
        </is>
      </c>
      <c r="D197" s="4" t="n">
        <v>740</v>
      </c>
      <c r="E197" s="5" t="n">
        <v>46242</v>
      </c>
      <c r="F197" s="5" t="n">
        <v>46246</v>
      </c>
      <c r="G197">
        <f>MAX(1,F197-E197)</f>
        <v/>
      </c>
      <c r="H197" s="4">
        <f>D197*G197</f>
        <v/>
      </c>
      <c r="I197">
        <f>IF(TODAY()&lt;E197,"À venir",IF(TODAY()&lt;F197,"En cours","Terminée"))</f>
        <v/>
      </c>
      <c r="J197" t="inlineStr">
        <is>
          <t>Site web</t>
        </is>
      </c>
      <c r="K197" t="inlineStr">
        <is>
          <t>Terminée</t>
        </is>
      </c>
    </row>
    <row r="198">
      <c r="A198" t="inlineStr">
        <is>
          <t>L-00197</t>
        </is>
      </c>
      <c r="B198" t="inlineStr">
        <is>
          <t>72769-D-1</t>
        </is>
      </c>
      <c r="C198" t="inlineStr">
        <is>
          <t>AD760481</t>
        </is>
      </c>
      <c r="D198" s="4" t="n">
        <v>230</v>
      </c>
      <c r="E198" s="5" t="n">
        <v>46242</v>
      </c>
      <c r="F198" s="5" t="n">
        <v>46245</v>
      </c>
      <c r="G198">
        <f>MAX(1,F198-E198)</f>
        <v/>
      </c>
      <c r="H198" s="4">
        <f>D198*G198</f>
        <v/>
      </c>
      <c r="I198">
        <f>IF(TODAY()&lt;E198,"À venir",IF(TODAY()&lt;F198,"En cours","Terminée"))</f>
        <v/>
      </c>
      <c r="J198" t="inlineStr">
        <is>
          <t>WhatsApp</t>
        </is>
      </c>
      <c r="K198" t="inlineStr">
        <is>
          <t>Terminée</t>
        </is>
      </c>
    </row>
    <row r="199">
      <c r="A199" t="inlineStr">
        <is>
          <t>L-00198</t>
        </is>
      </c>
      <c r="B199" t="inlineStr">
        <is>
          <t>97618-A-1</t>
        </is>
      </c>
      <c r="C199" t="inlineStr">
        <is>
          <t>G8781893</t>
        </is>
      </c>
      <c r="D199" s="4" t="n">
        <v>530</v>
      </c>
      <c r="E199" s="5" t="n">
        <v>46242</v>
      </c>
      <c r="F199" s="5" t="n">
        <v>46244</v>
      </c>
      <c r="G199">
        <f>MAX(1,F199-E199)</f>
        <v/>
      </c>
      <c r="H199" s="4">
        <f>D199*G199</f>
        <v/>
      </c>
      <c r="I199">
        <f>IF(TODAY()&lt;E199,"À venir",IF(TODAY()&lt;F199,"En cours","Terminée"))</f>
        <v/>
      </c>
      <c r="J199" t="inlineStr">
        <is>
          <t>Comptoir</t>
        </is>
      </c>
      <c r="K199" t="inlineStr">
        <is>
          <t>Terminée</t>
        </is>
      </c>
    </row>
    <row r="200">
      <c r="A200" t="inlineStr">
        <is>
          <t>L-00199</t>
        </is>
      </c>
      <c r="B200" t="inlineStr">
        <is>
          <t>35623-W-1</t>
        </is>
      </c>
      <c r="C200" t="inlineStr">
        <is>
          <t>G2490965</t>
        </is>
      </c>
      <c r="D200" s="4" t="n">
        <v>1500</v>
      </c>
      <c r="E200" s="5" t="n">
        <v>46243</v>
      </c>
      <c r="F200" s="5" t="n">
        <v>46247</v>
      </c>
      <c r="G200">
        <f>MAX(1,F200-E200)</f>
        <v/>
      </c>
      <c r="H200" s="4">
        <f>D200*G200</f>
        <v/>
      </c>
      <c r="I200">
        <f>IF(TODAY()&lt;E200,"À venir",IF(TODAY()&lt;F200,"En cours","Terminée"))</f>
        <v/>
      </c>
      <c r="J200" t="inlineStr">
        <is>
          <t>Instagram</t>
        </is>
      </c>
      <c r="K200" t="inlineStr">
        <is>
          <t>Terminée</t>
        </is>
      </c>
    </row>
    <row r="201">
      <c r="A201" t="inlineStr">
        <is>
          <t>L-00200</t>
        </is>
      </c>
      <c r="B201" t="inlineStr">
        <is>
          <t>62268-B-1</t>
        </is>
      </c>
      <c r="C201" t="inlineStr">
        <is>
          <t>G8958792</t>
        </is>
      </c>
      <c r="D201" s="4" t="n">
        <v>340</v>
      </c>
      <c r="E201" s="5" t="n">
        <v>46243</v>
      </c>
      <c r="F201" s="5" t="n">
        <v>46248</v>
      </c>
      <c r="G201">
        <f>MAX(1,F201-E201)</f>
        <v/>
      </c>
      <c r="H201" s="4">
        <f>D201*G201</f>
        <v/>
      </c>
      <c r="I201">
        <f>IF(TODAY()&lt;E201,"À venir",IF(TODAY()&lt;F201,"En cours","Terminée"))</f>
        <v/>
      </c>
      <c r="J201" t="inlineStr">
        <is>
          <t>Facebook</t>
        </is>
      </c>
      <c r="K201" t="inlineStr">
        <is>
          <t>Terminée</t>
        </is>
      </c>
    </row>
    <row r="202">
      <c r="A202" t="inlineStr">
        <is>
          <t>L-00201</t>
        </is>
      </c>
      <c r="B202" t="inlineStr">
        <is>
          <t>84923-D-1</t>
        </is>
      </c>
      <c r="C202" t="inlineStr">
        <is>
          <t>BE164321</t>
        </is>
      </c>
      <c r="D202" s="4" t="n">
        <v>780</v>
      </c>
      <c r="E202" s="5" t="n">
        <v>46243</v>
      </c>
      <c r="F202" s="5" t="n">
        <v>46246</v>
      </c>
      <c r="G202">
        <f>MAX(1,F202-E202)</f>
        <v/>
      </c>
      <c r="H202" s="4">
        <f>D202*G202</f>
        <v/>
      </c>
      <c r="I202">
        <f>IF(TODAY()&lt;E202,"À venir",IF(TODAY()&lt;F202,"En cours","Terminée"))</f>
        <v/>
      </c>
      <c r="J202" t="inlineStr">
        <is>
          <t>Instagram</t>
        </is>
      </c>
      <c r="K202" t="inlineStr">
        <is>
          <t>Terminée</t>
        </is>
      </c>
    </row>
    <row r="203">
      <c r="A203" t="inlineStr">
        <is>
          <t>L-00202</t>
        </is>
      </c>
      <c r="B203" t="inlineStr">
        <is>
          <t>91567-W-1</t>
        </is>
      </c>
      <c r="C203" t="inlineStr">
        <is>
          <t>AB3614343</t>
        </is>
      </c>
      <c r="D203" s="4" t="n">
        <v>250</v>
      </c>
      <c r="E203" s="5" t="n">
        <v>46243</v>
      </c>
      <c r="F203" s="5" t="n">
        <v>46247</v>
      </c>
      <c r="G203">
        <f>MAX(1,F203-E203)</f>
        <v/>
      </c>
      <c r="H203" s="4">
        <f>D203*G203</f>
        <v/>
      </c>
      <c r="I203">
        <f>IF(TODAY()&lt;E203,"À venir",IF(TODAY()&lt;F203,"En cours","Terminée"))</f>
        <v/>
      </c>
      <c r="J203" t="inlineStr">
        <is>
          <t>Instagram</t>
        </is>
      </c>
      <c r="K203" t="inlineStr">
        <is>
          <t>Terminée</t>
        </is>
      </c>
    </row>
    <row r="204">
      <c r="A204" t="inlineStr">
        <is>
          <t>L-00203</t>
        </is>
      </c>
      <c r="B204" t="inlineStr">
        <is>
          <t>91702-H-1</t>
        </is>
      </c>
      <c r="C204" t="inlineStr">
        <is>
          <t>EE722487</t>
        </is>
      </c>
      <c r="D204" s="4" t="n">
        <v>950</v>
      </c>
      <c r="E204" s="5" t="n">
        <v>46243</v>
      </c>
      <c r="F204" s="5" t="n">
        <v>46250</v>
      </c>
      <c r="G204">
        <f>MAX(1,F204-E204)</f>
        <v/>
      </c>
      <c r="H204" s="4">
        <f>D204*G204</f>
        <v/>
      </c>
      <c r="I204">
        <f>IF(TODAY()&lt;E204,"À venir",IF(TODAY()&lt;F204,"En cours","Terminée"))</f>
        <v/>
      </c>
      <c r="J204" t="inlineStr">
        <is>
          <t>Instagram</t>
        </is>
      </c>
      <c r="K204" t="inlineStr">
        <is>
          <t>Terminée</t>
        </is>
      </c>
    </row>
    <row r="205">
      <c r="A205" t="inlineStr">
        <is>
          <t>L-00204</t>
        </is>
      </c>
      <c r="B205" t="inlineStr">
        <is>
          <t>74343-B-1</t>
        </is>
      </c>
      <c r="C205" t="inlineStr">
        <is>
          <t>DA228644</t>
        </is>
      </c>
      <c r="D205" s="4" t="n">
        <v>270</v>
      </c>
      <c r="E205" s="5" t="n">
        <v>46244</v>
      </c>
      <c r="F205" s="5" t="n">
        <v>46251</v>
      </c>
      <c r="G205">
        <f>MAX(1,F205-E205)</f>
        <v/>
      </c>
      <c r="H205" s="4">
        <f>D205*G205</f>
        <v/>
      </c>
      <c r="I205">
        <f>IF(TODAY()&lt;E205,"À venir",IF(TODAY()&lt;F205,"En cours","Terminée"))</f>
        <v/>
      </c>
      <c r="J205" t="inlineStr">
        <is>
          <t>Booking.com</t>
        </is>
      </c>
      <c r="K205" t="inlineStr">
        <is>
          <t>Terminée</t>
        </is>
      </c>
    </row>
    <row r="206">
      <c r="A206" t="inlineStr">
        <is>
          <t>L-00205</t>
        </is>
      </c>
      <c r="B206" t="inlineStr">
        <is>
          <t>85684-A-1</t>
        </is>
      </c>
      <c r="C206" t="inlineStr">
        <is>
          <t>AA916889</t>
        </is>
      </c>
      <c r="D206" s="4" t="n">
        <v>300</v>
      </c>
      <c r="E206" s="5" t="n">
        <v>46244</v>
      </c>
      <c r="F206" s="5" t="n">
        <v>46248</v>
      </c>
      <c r="G206">
        <f>MAX(1,F206-E206)</f>
        <v/>
      </c>
      <c r="H206" s="4">
        <f>D206*G206</f>
        <v/>
      </c>
      <c r="I206">
        <f>IF(TODAY()&lt;E206,"À venir",IF(TODAY()&lt;F206,"En cours","Terminée"))</f>
        <v/>
      </c>
      <c r="J206" t="inlineStr">
        <is>
          <t>Instagram</t>
        </is>
      </c>
      <c r="K206" t="inlineStr">
        <is>
          <t>Terminée</t>
        </is>
      </c>
    </row>
    <row r="207">
      <c r="A207" t="inlineStr">
        <is>
          <t>L-00206</t>
        </is>
      </c>
      <c r="B207" t="inlineStr">
        <is>
          <t>96667-D-1</t>
        </is>
      </c>
      <c r="C207" t="inlineStr">
        <is>
          <t>IT1637716</t>
        </is>
      </c>
      <c r="D207" s="4" t="n">
        <v>960</v>
      </c>
      <c r="E207" s="5" t="n">
        <v>46244</v>
      </c>
      <c r="F207" s="5" t="n">
        <v>46251</v>
      </c>
      <c r="G207">
        <f>MAX(1,F207-E207)</f>
        <v/>
      </c>
      <c r="H207" s="4">
        <f>D207*G207</f>
        <v/>
      </c>
      <c r="I207">
        <f>IF(TODAY()&lt;E207,"À venir",IF(TODAY()&lt;F207,"En cours","Terminée"))</f>
        <v/>
      </c>
      <c r="J207" t="inlineStr">
        <is>
          <t>Comptoir</t>
        </is>
      </c>
      <c r="K207" t="inlineStr">
        <is>
          <t>Terminée</t>
        </is>
      </c>
    </row>
    <row r="208">
      <c r="A208" t="inlineStr">
        <is>
          <t>L-00207</t>
        </is>
      </c>
      <c r="B208" t="inlineStr">
        <is>
          <t>22394-A-1</t>
        </is>
      </c>
      <c r="C208" t="inlineStr">
        <is>
          <t>AB893891</t>
        </is>
      </c>
      <c r="D208" s="4" t="n">
        <v>420</v>
      </c>
      <c r="E208" s="5" t="n">
        <v>46245</v>
      </c>
      <c r="F208" s="5" t="n">
        <v>46247</v>
      </c>
      <c r="G208">
        <f>MAX(1,F208-E208)</f>
        <v/>
      </c>
      <c r="H208" s="4">
        <f>D208*G208</f>
        <v/>
      </c>
      <c r="I208">
        <f>IF(TODAY()&lt;E208,"À venir",IF(TODAY()&lt;F208,"En cours","Terminée"))</f>
        <v/>
      </c>
      <c r="J208" t="inlineStr">
        <is>
          <t>Téléphone</t>
        </is>
      </c>
      <c r="K208" t="inlineStr">
        <is>
          <t>Terminée</t>
        </is>
      </c>
    </row>
    <row r="209">
      <c r="A209" t="inlineStr">
        <is>
          <t>L-00208</t>
        </is>
      </c>
      <c r="B209" t="inlineStr">
        <is>
          <t>25835-W-1</t>
        </is>
      </c>
      <c r="C209" t="inlineStr">
        <is>
          <t>YA7543921</t>
        </is>
      </c>
      <c r="D209" s="4" t="n">
        <v>640</v>
      </c>
      <c r="E209" s="5" t="n">
        <v>46245</v>
      </c>
      <c r="F209" s="5" t="n">
        <v>46250</v>
      </c>
      <c r="G209">
        <f>MAX(1,F209-E209)</f>
        <v/>
      </c>
      <c r="H209" s="4">
        <f>D209*G209</f>
        <v/>
      </c>
      <c r="I209">
        <f>IF(TODAY()&lt;E209,"À venir",IF(TODAY()&lt;F209,"En cours","Terminée"))</f>
        <v/>
      </c>
      <c r="J209" t="inlineStr">
        <is>
          <t>Instagram</t>
        </is>
      </c>
      <c r="K209" t="inlineStr">
        <is>
          <t>Terminée</t>
        </is>
      </c>
    </row>
    <row r="210">
      <c r="A210" t="inlineStr">
        <is>
          <t>L-00209</t>
        </is>
      </c>
      <c r="B210" t="inlineStr">
        <is>
          <t>36193-W-1</t>
        </is>
      </c>
      <c r="C210" t="inlineStr">
        <is>
          <t>AA411366</t>
        </is>
      </c>
      <c r="D210" s="4" t="n">
        <v>500</v>
      </c>
      <c r="E210" s="5" t="n">
        <v>46245</v>
      </c>
      <c r="F210" s="5" t="n">
        <v>46249</v>
      </c>
      <c r="G210">
        <f>MAX(1,F210-E210)</f>
        <v/>
      </c>
      <c r="H210" s="4">
        <f>D210*G210</f>
        <v/>
      </c>
      <c r="I210">
        <f>IF(TODAY()&lt;E210,"À venir",IF(TODAY()&lt;F210,"En cours","Terminée"))</f>
        <v/>
      </c>
      <c r="J210" t="inlineStr">
        <is>
          <t>WhatsApp</t>
        </is>
      </c>
      <c r="K210" t="inlineStr">
        <is>
          <t>Terminée</t>
        </is>
      </c>
    </row>
    <row r="211">
      <c r="A211" t="inlineStr">
        <is>
          <t>L-00210</t>
        </is>
      </c>
      <c r="B211" t="inlineStr">
        <is>
          <t>47649-D-1</t>
        </is>
      </c>
      <c r="C211" t="inlineStr">
        <is>
          <t>BE813994</t>
        </is>
      </c>
      <c r="D211" s="4" t="n">
        <v>320</v>
      </c>
      <c r="E211" s="5" t="n">
        <v>46245</v>
      </c>
      <c r="F211" s="5" t="n">
        <v>46248</v>
      </c>
      <c r="G211">
        <f>MAX(1,F211-E211)</f>
        <v/>
      </c>
      <c r="H211" s="4">
        <f>D211*G211</f>
        <v/>
      </c>
      <c r="I211">
        <f>IF(TODAY()&lt;E211,"À venir",IF(TODAY()&lt;F211,"En cours","Terminée"))</f>
        <v/>
      </c>
      <c r="J211" t="inlineStr">
        <is>
          <t>Instagram</t>
        </is>
      </c>
      <c r="K211" t="inlineStr">
        <is>
          <t>Terminée</t>
        </is>
      </c>
    </row>
    <row r="212">
      <c r="A212" t="inlineStr">
        <is>
          <t>L-00211</t>
        </is>
      </c>
      <c r="B212" t="inlineStr">
        <is>
          <t>49965-H-1</t>
        </is>
      </c>
      <c r="C212" t="inlineStr">
        <is>
          <t>CD232629</t>
        </is>
      </c>
      <c r="D212" s="4" t="n">
        <v>1110</v>
      </c>
      <c r="E212" s="5" t="n">
        <v>46245</v>
      </c>
      <c r="F212" s="5" t="n">
        <v>46250</v>
      </c>
      <c r="G212">
        <f>MAX(1,F212-E212)</f>
        <v/>
      </c>
      <c r="H212" s="4">
        <f>D212*G212</f>
        <v/>
      </c>
      <c r="I212">
        <f>IF(TODAY()&lt;E212,"À venir",IF(TODAY()&lt;F212,"En cours","Terminée"))</f>
        <v/>
      </c>
      <c r="J212" t="inlineStr">
        <is>
          <t>Booking.com</t>
        </is>
      </c>
      <c r="K212" t="inlineStr">
        <is>
          <t>Terminée</t>
        </is>
      </c>
    </row>
    <row r="213">
      <c r="A213" t="inlineStr">
        <is>
          <t>L-00212</t>
        </is>
      </c>
      <c r="B213" t="inlineStr">
        <is>
          <t>69873-A-1</t>
        </is>
      </c>
      <c r="C213" t="inlineStr">
        <is>
          <t>DA228644</t>
        </is>
      </c>
      <c r="D213" s="4" t="n">
        <v>390</v>
      </c>
      <c r="E213" s="5" t="n">
        <v>46245</v>
      </c>
      <c r="F213" s="5" t="n">
        <v>46248</v>
      </c>
      <c r="G213">
        <f>MAX(1,F213-E213)</f>
        <v/>
      </c>
      <c r="H213" s="4">
        <f>D213*G213</f>
        <v/>
      </c>
      <c r="I213">
        <f>IF(TODAY()&lt;E213,"À venir",IF(TODAY()&lt;F213,"En cours","Terminée"))</f>
        <v/>
      </c>
      <c r="J213" t="inlineStr">
        <is>
          <t>Instagram</t>
        </is>
      </c>
      <c r="K213" t="inlineStr">
        <is>
          <t>Terminée</t>
        </is>
      </c>
    </row>
    <row r="214">
      <c r="A214" t="inlineStr">
        <is>
          <t>L-00213</t>
        </is>
      </c>
      <c r="B214" t="inlineStr">
        <is>
          <t>75329-D-1</t>
        </is>
      </c>
      <c r="C214" t="inlineStr">
        <is>
          <t>BK141422</t>
        </is>
      </c>
      <c r="D214" s="4" t="n">
        <v>600</v>
      </c>
      <c r="E214" s="5" t="n">
        <v>46245</v>
      </c>
      <c r="F214" s="5" t="n">
        <v>46250</v>
      </c>
      <c r="G214">
        <f>MAX(1,F214-E214)</f>
        <v/>
      </c>
      <c r="H214" s="4">
        <f>D214*G214</f>
        <v/>
      </c>
      <c r="I214">
        <f>IF(TODAY()&lt;E214,"À venir",IF(TODAY()&lt;F214,"En cours","Terminée"))</f>
        <v/>
      </c>
      <c r="J214" t="inlineStr">
        <is>
          <t>Téléphone</t>
        </is>
      </c>
      <c r="K214" t="inlineStr">
        <is>
          <t>Terminée</t>
        </is>
      </c>
    </row>
    <row r="215">
      <c r="A215" t="inlineStr">
        <is>
          <t>L-00214</t>
        </is>
      </c>
      <c r="B215" t="inlineStr">
        <is>
          <t>83662-D-1</t>
        </is>
      </c>
      <c r="C215" t="inlineStr">
        <is>
          <t>AE975066</t>
        </is>
      </c>
      <c r="D215" s="4" t="n">
        <v>480</v>
      </c>
      <c r="E215" s="5" t="n">
        <v>46245</v>
      </c>
      <c r="F215" s="5" t="n">
        <v>46250</v>
      </c>
      <c r="G215">
        <f>MAX(1,F215-E215)</f>
        <v/>
      </c>
      <c r="H215" s="4">
        <f>D215*G215</f>
        <v/>
      </c>
      <c r="I215">
        <f>IF(TODAY()&lt;E215,"À venir",IF(TODAY()&lt;F215,"En cours","Terminée"))</f>
        <v/>
      </c>
      <c r="J215" t="inlineStr">
        <is>
          <t>WhatsApp</t>
        </is>
      </c>
      <c r="K215" t="inlineStr">
        <is>
          <t>Terminée</t>
        </is>
      </c>
    </row>
    <row r="216">
      <c r="A216" t="inlineStr">
        <is>
          <t>L-00215</t>
        </is>
      </c>
      <c r="B216" t="inlineStr">
        <is>
          <t>97618-A-1</t>
        </is>
      </c>
      <c r="C216" t="inlineStr">
        <is>
          <t>AA411366</t>
        </is>
      </c>
      <c r="D216" s="4" t="n">
        <v>530</v>
      </c>
      <c r="E216" s="5" t="n">
        <v>46245</v>
      </c>
      <c r="F216" s="5" t="n">
        <v>46250</v>
      </c>
      <c r="G216">
        <f>MAX(1,F216-E216)</f>
        <v/>
      </c>
      <c r="H216" s="4">
        <f>D216*G216</f>
        <v/>
      </c>
      <c r="I216">
        <f>IF(TODAY()&lt;E216,"À venir",IF(TODAY()&lt;F216,"En cours","Terminée"))</f>
        <v/>
      </c>
      <c r="J216" t="inlineStr">
        <is>
          <t>Facebook</t>
        </is>
      </c>
      <c r="K216" t="inlineStr">
        <is>
          <t>Terminée</t>
        </is>
      </c>
    </row>
    <row r="217">
      <c r="A217" t="inlineStr">
        <is>
          <t>L-00216</t>
        </is>
      </c>
      <c r="B217" t="inlineStr">
        <is>
          <t>72769-D-1</t>
        </is>
      </c>
      <c r="C217" t="inlineStr">
        <is>
          <t>AD526949</t>
        </is>
      </c>
      <c r="D217" s="4" t="n">
        <v>220</v>
      </c>
      <c r="E217" s="5" t="n">
        <v>46246</v>
      </c>
      <c r="F217" s="5" t="n">
        <v>46253</v>
      </c>
      <c r="G217">
        <f>MAX(1,F217-E217)</f>
        <v/>
      </c>
      <c r="H217" s="4">
        <f>D217*G217</f>
        <v/>
      </c>
      <c r="I217">
        <f>IF(TODAY()&lt;E217,"À venir",IF(TODAY()&lt;F217,"En cours","Terminée"))</f>
        <v/>
      </c>
      <c r="J217" t="inlineStr">
        <is>
          <t>Site web</t>
        </is>
      </c>
      <c r="K217" t="inlineStr">
        <is>
          <t>Terminée</t>
        </is>
      </c>
    </row>
    <row r="218">
      <c r="A218" t="inlineStr">
        <is>
          <t>L-00217</t>
        </is>
      </c>
      <c r="B218" t="inlineStr">
        <is>
          <t>71302-W-1</t>
        </is>
      </c>
      <c r="C218" t="inlineStr">
        <is>
          <t>AD760481</t>
        </is>
      </c>
      <c r="D218" s="4" t="n">
        <v>480</v>
      </c>
      <c r="E218" s="5" t="n">
        <v>46247</v>
      </c>
      <c r="F218" s="5" t="n">
        <v>46251</v>
      </c>
      <c r="G218">
        <f>MAX(1,F218-E218)</f>
        <v/>
      </c>
      <c r="H218" s="4">
        <f>D218*G218</f>
        <v/>
      </c>
      <c r="I218">
        <f>IF(TODAY()&lt;E218,"À venir",IF(TODAY()&lt;F218,"En cours","Terminée"))</f>
        <v/>
      </c>
      <c r="J218" t="inlineStr">
        <is>
          <t>Facebook</t>
        </is>
      </c>
      <c r="K218" t="inlineStr">
        <is>
          <t>Terminée</t>
        </is>
      </c>
    </row>
    <row r="219">
      <c r="A219" t="inlineStr">
        <is>
          <t>L-00218</t>
        </is>
      </c>
      <c r="B219" t="inlineStr">
        <is>
          <t>71994-D-1</t>
        </is>
      </c>
      <c r="C219" t="inlineStr">
        <is>
          <t>XK9750596</t>
        </is>
      </c>
      <c r="D219" s="4" t="n">
        <v>690</v>
      </c>
      <c r="E219" s="5" t="n">
        <v>46247</v>
      </c>
      <c r="F219" s="5" t="n">
        <v>46254</v>
      </c>
      <c r="G219">
        <f>MAX(1,F219-E219)</f>
        <v/>
      </c>
      <c r="H219" s="4">
        <f>D219*G219</f>
        <v/>
      </c>
      <c r="I219">
        <f>IF(TODAY()&lt;E219,"À venir",IF(TODAY()&lt;F219,"En cours","Terminée"))</f>
        <v/>
      </c>
      <c r="J219" t="inlineStr">
        <is>
          <t>Facebook</t>
        </is>
      </c>
      <c r="K219" t="inlineStr">
        <is>
          <t>Terminée</t>
        </is>
      </c>
    </row>
    <row r="220">
      <c r="A220" t="inlineStr">
        <is>
          <t>L-00219</t>
        </is>
      </c>
      <c r="B220" t="inlineStr">
        <is>
          <t>81442-B-1</t>
        </is>
      </c>
      <c r="C220" t="inlineStr">
        <is>
          <t>AE201114</t>
        </is>
      </c>
      <c r="D220" s="4" t="n">
        <v>450</v>
      </c>
      <c r="E220" s="5" t="n">
        <v>46247</v>
      </c>
      <c r="F220" s="5" t="n">
        <v>46261</v>
      </c>
      <c r="G220">
        <f>MAX(1,F220-E220)</f>
        <v/>
      </c>
      <c r="H220" s="4">
        <f>D220*G220</f>
        <v/>
      </c>
      <c r="I220">
        <f>IF(TODAY()&lt;E220,"À venir",IF(TODAY()&lt;F220,"En cours","Terminée"))</f>
        <v/>
      </c>
      <c r="J220" t="inlineStr">
        <is>
          <t>WhatsApp</t>
        </is>
      </c>
      <c r="K220" t="inlineStr">
        <is>
          <t>Terminée</t>
        </is>
      </c>
    </row>
    <row r="221">
      <c r="A221" t="inlineStr">
        <is>
          <t>L-00220</t>
        </is>
      </c>
      <c r="B221" t="inlineStr">
        <is>
          <t>83373-B-1</t>
        </is>
      </c>
      <c r="C221" t="inlineStr">
        <is>
          <t>CD176711</t>
        </is>
      </c>
      <c r="D221" s="4" t="n">
        <v>340</v>
      </c>
      <c r="E221" s="5" t="n">
        <v>46247</v>
      </c>
      <c r="F221" s="5" t="n">
        <v>46252</v>
      </c>
      <c r="G221">
        <f>MAX(1,F221-E221)</f>
        <v/>
      </c>
      <c r="H221" s="4">
        <f>D221*G221</f>
        <v/>
      </c>
      <c r="I221">
        <f>IF(TODAY()&lt;E221,"À venir",IF(TODAY()&lt;F221,"En cours","Terminée"))</f>
        <v/>
      </c>
      <c r="J221" t="inlineStr">
        <is>
          <t>Facebook</t>
        </is>
      </c>
      <c r="K221" t="inlineStr">
        <is>
          <t>Terminée</t>
        </is>
      </c>
    </row>
    <row r="222">
      <c r="A222" t="inlineStr">
        <is>
          <t>L-00221</t>
        </is>
      </c>
      <c r="B222" t="inlineStr">
        <is>
          <t>95936-H-1</t>
        </is>
      </c>
      <c r="C222" t="inlineStr">
        <is>
          <t>EE359347</t>
        </is>
      </c>
      <c r="D222" s="4" t="n">
        <v>430</v>
      </c>
      <c r="E222" s="5" t="n">
        <v>46247</v>
      </c>
      <c r="F222" s="5" t="n">
        <v>46268</v>
      </c>
      <c r="G222">
        <f>MAX(1,F222-E222)</f>
        <v/>
      </c>
      <c r="H222" s="4">
        <f>D222*G222</f>
        <v/>
      </c>
      <c r="I222">
        <f>IF(TODAY()&lt;E222,"À venir",IF(TODAY()&lt;F222,"En cours","Terminée"))</f>
        <v/>
      </c>
      <c r="J222" t="inlineStr">
        <is>
          <t>WhatsApp</t>
        </is>
      </c>
      <c r="K222" t="inlineStr">
        <is>
          <t>Terminée</t>
        </is>
      </c>
    </row>
    <row r="223">
      <c r="A223" t="inlineStr">
        <is>
          <t>L-00222</t>
        </is>
      </c>
      <c r="B223" t="inlineStr">
        <is>
          <t>22394-A-1</t>
        </is>
      </c>
      <c r="C223" t="inlineStr">
        <is>
          <t>AB467851</t>
        </is>
      </c>
      <c r="D223" s="4" t="n">
        <v>430</v>
      </c>
      <c r="E223" s="5" t="n">
        <v>46248</v>
      </c>
      <c r="F223" s="5" t="n">
        <v>46250</v>
      </c>
      <c r="G223">
        <f>MAX(1,F223-E223)</f>
        <v/>
      </c>
      <c r="H223" s="4">
        <f>D223*G223</f>
        <v/>
      </c>
      <c r="I223">
        <f>IF(TODAY()&lt;E223,"À venir",IF(TODAY()&lt;F223,"En cours","Terminée"))</f>
        <v/>
      </c>
      <c r="J223" t="inlineStr">
        <is>
          <t>Comptoir</t>
        </is>
      </c>
      <c r="K223" t="inlineStr">
        <is>
          <t>Terminée</t>
        </is>
      </c>
    </row>
    <row r="224">
      <c r="A224" t="inlineStr">
        <is>
          <t>L-00223</t>
        </is>
      </c>
      <c r="B224" t="inlineStr">
        <is>
          <t>33992-B-1</t>
        </is>
      </c>
      <c r="C224" t="inlineStr">
        <is>
          <t>IT1892934</t>
        </is>
      </c>
      <c r="D224" s="4" t="n">
        <v>550</v>
      </c>
      <c r="E224" s="5" t="n">
        <v>46248</v>
      </c>
      <c r="F224" s="5" t="n">
        <v>46253</v>
      </c>
      <c r="G224">
        <f>MAX(1,F224-E224)</f>
        <v/>
      </c>
      <c r="H224" s="4">
        <f>D224*G224</f>
        <v/>
      </c>
      <c r="I224">
        <f>IF(TODAY()&lt;E224,"À venir",IF(TODAY()&lt;F224,"En cours","Terminée"))</f>
        <v/>
      </c>
      <c r="J224" t="inlineStr">
        <is>
          <t>Téléphone</t>
        </is>
      </c>
      <c r="K224" t="inlineStr">
        <is>
          <t>Terminée</t>
        </is>
      </c>
    </row>
    <row r="225">
      <c r="A225" t="inlineStr">
        <is>
          <t>L-00224</t>
        </is>
      </c>
      <c r="B225" t="inlineStr">
        <is>
          <t>35623-W-1</t>
        </is>
      </c>
      <c r="C225" t="inlineStr">
        <is>
          <t>CD931756</t>
        </is>
      </c>
      <c r="D225" s="4" t="n">
        <v>1440</v>
      </c>
      <c r="E225" s="5" t="n">
        <v>46248</v>
      </c>
      <c r="F225" s="5" t="n">
        <v>46262</v>
      </c>
      <c r="G225">
        <f>MAX(1,F225-E225)</f>
        <v/>
      </c>
      <c r="H225" s="4">
        <f>D225*G225</f>
        <v/>
      </c>
      <c r="I225">
        <f>IF(TODAY()&lt;E225,"À venir",IF(TODAY()&lt;F225,"En cours","Terminée"))</f>
        <v/>
      </c>
      <c r="J225" t="inlineStr">
        <is>
          <t>WhatsApp</t>
        </is>
      </c>
      <c r="K225" t="inlineStr">
        <is>
          <t>Terminée</t>
        </is>
      </c>
    </row>
    <row r="226">
      <c r="A226" t="inlineStr">
        <is>
          <t>L-00225</t>
        </is>
      </c>
      <c r="B226" t="inlineStr">
        <is>
          <t>69221-A-1</t>
        </is>
      </c>
      <c r="C226" t="inlineStr">
        <is>
          <t>A9849560</t>
        </is>
      </c>
      <c r="D226" s="4" t="n">
        <v>1460</v>
      </c>
      <c r="E226" s="5" t="n">
        <v>46248</v>
      </c>
      <c r="F226" s="5" t="n">
        <v>46250</v>
      </c>
      <c r="G226">
        <f>MAX(1,F226-E226)</f>
        <v/>
      </c>
      <c r="H226" s="4">
        <f>D226*G226</f>
        <v/>
      </c>
      <c r="I226">
        <f>IF(TODAY()&lt;E226,"À venir",IF(TODAY()&lt;F226,"En cours","Terminée"))</f>
        <v/>
      </c>
      <c r="J226" t="inlineStr">
        <is>
          <t>WhatsApp</t>
        </is>
      </c>
      <c r="K226" t="inlineStr">
        <is>
          <t>Terminée</t>
        </is>
      </c>
    </row>
    <row r="227">
      <c r="A227" t="inlineStr">
        <is>
          <t>L-00226</t>
        </is>
      </c>
      <c r="B227" t="inlineStr">
        <is>
          <t>84923-D-1</t>
        </is>
      </c>
      <c r="C227" t="inlineStr">
        <is>
          <t>AD710001</t>
        </is>
      </c>
      <c r="D227" s="4" t="n">
        <v>690</v>
      </c>
      <c r="E227" s="5" t="n">
        <v>46248</v>
      </c>
      <c r="F227" s="5" t="n">
        <v>46262</v>
      </c>
      <c r="G227">
        <f>MAX(1,F227-E227)</f>
        <v/>
      </c>
      <c r="H227" s="4">
        <f>D227*G227</f>
        <v/>
      </c>
      <c r="I227">
        <f>IF(TODAY()&lt;E227,"À venir",IF(TODAY()&lt;F227,"En cours","Terminée"))</f>
        <v/>
      </c>
      <c r="J227" t="inlineStr">
        <is>
          <t>Comptoir</t>
        </is>
      </c>
      <c r="K227" t="inlineStr">
        <is>
          <t>Terminée</t>
        </is>
      </c>
    </row>
    <row r="228">
      <c r="A228" t="inlineStr">
        <is>
          <t>L-00227</t>
        </is>
      </c>
      <c r="B228" t="inlineStr">
        <is>
          <t>91567-W-1</t>
        </is>
      </c>
      <c r="C228" t="inlineStr">
        <is>
          <t>YA5163351</t>
        </is>
      </c>
      <c r="D228" s="4" t="n">
        <v>260</v>
      </c>
      <c r="E228" s="5" t="n">
        <v>46248</v>
      </c>
      <c r="F228" s="5" t="n">
        <v>46251</v>
      </c>
      <c r="G228">
        <f>MAX(1,F228-E228)</f>
        <v/>
      </c>
      <c r="H228" s="4">
        <f>D228*G228</f>
        <v/>
      </c>
      <c r="I228">
        <f>IF(TODAY()&lt;E228,"À venir",IF(TODAY()&lt;F228,"En cours","Terminée"))</f>
        <v/>
      </c>
      <c r="J228" t="inlineStr">
        <is>
          <t>Booking.com</t>
        </is>
      </c>
      <c r="K228" t="inlineStr">
        <is>
          <t>Terminée</t>
        </is>
      </c>
    </row>
    <row r="229">
      <c r="A229" t="inlineStr">
        <is>
          <t>L-00228</t>
        </is>
      </c>
      <c r="B229" t="inlineStr">
        <is>
          <t>47649-D-1</t>
        </is>
      </c>
      <c r="C229" t="inlineStr">
        <is>
          <t>AD526949</t>
        </is>
      </c>
      <c r="D229" s="4" t="n">
        <v>300</v>
      </c>
      <c r="E229" s="5" t="n">
        <v>46249</v>
      </c>
      <c r="F229" s="5" t="n">
        <v>46256</v>
      </c>
      <c r="G229">
        <f>MAX(1,F229-E229)</f>
        <v/>
      </c>
      <c r="H229" s="4">
        <f>D229*G229</f>
        <v/>
      </c>
      <c r="I229">
        <f>IF(TODAY()&lt;E229,"À venir",IF(TODAY()&lt;F229,"En cours","Terminée"))</f>
        <v/>
      </c>
      <c r="J229" t="inlineStr">
        <is>
          <t>Comptoir</t>
        </is>
      </c>
      <c r="K229" t="inlineStr">
        <is>
          <t>Terminée</t>
        </is>
      </c>
    </row>
    <row r="230">
      <c r="A230" t="inlineStr">
        <is>
          <t>L-00229</t>
        </is>
      </c>
      <c r="B230" t="inlineStr">
        <is>
          <t>69873-A-1</t>
        </is>
      </c>
      <c r="C230" t="inlineStr">
        <is>
          <t>CD720352</t>
        </is>
      </c>
      <c r="D230" s="4" t="n">
        <v>350</v>
      </c>
      <c r="E230" s="5" t="n">
        <v>46249</v>
      </c>
      <c r="F230" s="5" t="n">
        <v>46270</v>
      </c>
      <c r="G230">
        <f>MAX(1,F230-E230)</f>
        <v/>
      </c>
      <c r="H230" s="4">
        <f>D230*G230</f>
        <v/>
      </c>
      <c r="I230">
        <f>IF(TODAY()&lt;E230,"À venir",IF(TODAY()&lt;F230,"En cours","Terminée"))</f>
        <v/>
      </c>
      <c r="J230" t="inlineStr">
        <is>
          <t>Facebook</t>
        </is>
      </c>
      <c r="K230" t="inlineStr">
        <is>
          <t>Terminée</t>
        </is>
      </c>
    </row>
    <row r="231">
      <c r="A231" t="inlineStr">
        <is>
          <t>L-00230</t>
        </is>
      </c>
      <c r="B231" t="inlineStr">
        <is>
          <t>85272-B-1</t>
        </is>
      </c>
      <c r="C231" t="inlineStr">
        <is>
          <t>A5775553</t>
        </is>
      </c>
      <c r="D231" s="4" t="n">
        <v>610</v>
      </c>
      <c r="E231" s="5" t="n">
        <v>46249</v>
      </c>
      <c r="F231" s="5" t="n">
        <v>46254</v>
      </c>
      <c r="G231">
        <f>MAX(1,F231-E231)</f>
        <v/>
      </c>
      <c r="H231" s="4">
        <f>D231*G231</f>
        <v/>
      </c>
      <c r="I231">
        <f>IF(TODAY()&lt;E231,"À venir",IF(TODAY()&lt;F231,"En cours","Terminée"))</f>
        <v/>
      </c>
      <c r="J231" t="inlineStr">
        <is>
          <t>Téléphone</t>
        </is>
      </c>
      <c r="K231" t="inlineStr">
        <is>
          <t>Terminée</t>
        </is>
      </c>
    </row>
    <row r="232">
      <c r="A232" t="inlineStr">
        <is>
          <t>L-00231</t>
        </is>
      </c>
      <c r="B232" t="inlineStr">
        <is>
          <t>85684-A-1</t>
        </is>
      </c>
      <c r="C232" t="inlineStr">
        <is>
          <t>BE636382</t>
        </is>
      </c>
      <c r="D232" s="4" t="n">
        <v>280</v>
      </c>
      <c r="E232" s="5" t="n">
        <v>46249</v>
      </c>
      <c r="F232" s="5" t="n">
        <v>46254</v>
      </c>
      <c r="G232">
        <f>MAX(1,F232-E232)</f>
        <v/>
      </c>
      <c r="H232" s="4">
        <f>D232*G232</f>
        <v/>
      </c>
      <c r="I232">
        <f>IF(TODAY()&lt;E232,"À venir",IF(TODAY()&lt;F232,"En cours","Terminée"))</f>
        <v/>
      </c>
      <c r="J232" t="inlineStr">
        <is>
          <t>Instagram</t>
        </is>
      </c>
      <c r="K232" t="inlineStr">
        <is>
          <t>Terminée</t>
        </is>
      </c>
    </row>
    <row r="233">
      <c r="A233" t="inlineStr">
        <is>
          <t>L-00232</t>
        </is>
      </c>
      <c r="B233" t="inlineStr">
        <is>
          <t>21066-H-1</t>
        </is>
      </c>
      <c r="C233" t="inlineStr">
        <is>
          <t>G8446428</t>
        </is>
      </c>
      <c r="D233" s="4" t="n">
        <v>600</v>
      </c>
      <c r="E233" s="5" t="n">
        <v>46250</v>
      </c>
      <c r="F233" s="5" t="n">
        <v>46257</v>
      </c>
      <c r="G233">
        <f>MAX(1,F233-E233)</f>
        <v/>
      </c>
      <c r="H233" s="4">
        <f>D233*G233</f>
        <v/>
      </c>
      <c r="I233">
        <f>IF(TODAY()&lt;E233,"À venir",IF(TODAY()&lt;F233,"En cours","Terminée"))</f>
        <v/>
      </c>
      <c r="J233" t="inlineStr">
        <is>
          <t>Facebook</t>
        </is>
      </c>
      <c r="K233" t="inlineStr">
        <is>
          <t>Terminée</t>
        </is>
      </c>
    </row>
    <row r="234">
      <c r="A234" t="inlineStr">
        <is>
          <t>L-00233</t>
        </is>
      </c>
      <c r="B234" t="inlineStr">
        <is>
          <t>36193-W-1</t>
        </is>
      </c>
      <c r="C234" t="inlineStr">
        <is>
          <t>EE793915</t>
        </is>
      </c>
      <c r="D234" s="4" t="n">
        <v>460</v>
      </c>
      <c r="E234" s="5" t="n">
        <v>46250</v>
      </c>
      <c r="F234" s="5" t="n">
        <v>46257</v>
      </c>
      <c r="G234">
        <f>MAX(1,F234-E234)</f>
        <v/>
      </c>
      <c r="H234" s="4">
        <f>D234*G234</f>
        <v/>
      </c>
      <c r="I234">
        <f>IF(TODAY()&lt;E234,"À venir",IF(TODAY()&lt;F234,"En cours","Terminée"))</f>
        <v/>
      </c>
      <c r="J234" t="inlineStr">
        <is>
          <t>WhatsApp</t>
        </is>
      </c>
      <c r="K234" t="inlineStr">
        <is>
          <t>Terminée</t>
        </is>
      </c>
    </row>
    <row r="235">
      <c r="A235" t="inlineStr">
        <is>
          <t>L-00234</t>
        </is>
      </c>
      <c r="B235" t="inlineStr">
        <is>
          <t>62268-B-1</t>
        </is>
      </c>
      <c r="C235" t="inlineStr">
        <is>
          <t>AE279704</t>
        </is>
      </c>
      <c r="D235" s="4" t="n">
        <v>350</v>
      </c>
      <c r="E235" s="5" t="n">
        <v>46250</v>
      </c>
      <c r="F235" s="5" t="n">
        <v>46253</v>
      </c>
      <c r="G235">
        <f>MAX(1,F235-E235)</f>
        <v/>
      </c>
      <c r="H235" s="4">
        <f>D235*G235</f>
        <v/>
      </c>
      <c r="I235">
        <f>IF(TODAY()&lt;E235,"À venir",IF(TODAY()&lt;F235,"En cours","Terminée"))</f>
        <v/>
      </c>
      <c r="J235" t="inlineStr">
        <is>
          <t>Instagram</t>
        </is>
      </c>
      <c r="K235" t="inlineStr">
        <is>
          <t>Terminée</t>
        </is>
      </c>
    </row>
    <row r="236">
      <c r="A236" t="inlineStr">
        <is>
          <t>L-00235</t>
        </is>
      </c>
      <c r="B236" t="inlineStr">
        <is>
          <t>88778-A-1</t>
        </is>
      </c>
      <c r="C236" t="inlineStr">
        <is>
          <t>EE277121</t>
        </is>
      </c>
      <c r="D236" s="4" t="n">
        <v>230</v>
      </c>
      <c r="E236" s="5" t="n">
        <v>46250</v>
      </c>
      <c r="F236" s="5" t="n">
        <v>46271</v>
      </c>
      <c r="G236">
        <f>MAX(1,F236-E236)</f>
        <v/>
      </c>
      <c r="H236" s="4">
        <f>D236*G236</f>
        <v/>
      </c>
      <c r="I236">
        <f>IF(TODAY()&lt;E236,"À venir",IF(TODAY()&lt;F236,"En cours","Terminée"))</f>
        <v/>
      </c>
      <c r="J236" t="inlineStr">
        <is>
          <t>Facebook</t>
        </is>
      </c>
      <c r="K236" t="inlineStr">
        <is>
          <t>Terminée</t>
        </is>
      </c>
    </row>
    <row r="237">
      <c r="A237" t="inlineStr">
        <is>
          <t>L-00236</t>
        </is>
      </c>
      <c r="B237" t="inlineStr">
        <is>
          <t>22394-A-1</t>
        </is>
      </c>
      <c r="C237" t="inlineStr">
        <is>
          <t>G9409777</t>
        </is>
      </c>
      <c r="D237" s="4" t="n">
        <v>380</v>
      </c>
      <c r="E237" s="5" t="n">
        <v>46251</v>
      </c>
      <c r="F237" s="5" t="n">
        <v>46272</v>
      </c>
      <c r="G237">
        <f>MAX(1,F237-E237)</f>
        <v/>
      </c>
      <c r="H237" s="4">
        <f>D237*G237</f>
        <v/>
      </c>
      <c r="I237">
        <f>IF(TODAY()&lt;E237,"À venir",IF(TODAY()&lt;F237,"En cours","Terminée"))</f>
        <v/>
      </c>
      <c r="J237" t="inlineStr">
        <is>
          <t>Booking.com</t>
        </is>
      </c>
      <c r="K237" t="inlineStr">
        <is>
          <t>Terminée</t>
        </is>
      </c>
    </row>
    <row r="238">
      <c r="A238" t="inlineStr">
        <is>
          <t>L-00237</t>
        </is>
      </c>
      <c r="B238" t="inlineStr">
        <is>
          <t>25835-W-1</t>
        </is>
      </c>
      <c r="C238" t="inlineStr">
        <is>
          <t>AB8443832</t>
        </is>
      </c>
      <c r="D238" s="4" t="n">
        <v>650</v>
      </c>
      <c r="E238" s="5" t="n">
        <v>46251</v>
      </c>
      <c r="F238" s="5" t="n">
        <v>46256</v>
      </c>
      <c r="G238">
        <f>MAX(1,F238-E238)</f>
        <v/>
      </c>
      <c r="H238" s="4">
        <f>D238*G238</f>
        <v/>
      </c>
      <c r="I238">
        <f>IF(TODAY()&lt;E238,"À venir",IF(TODAY()&lt;F238,"En cours","Terminée"))</f>
        <v/>
      </c>
      <c r="J238" t="inlineStr">
        <is>
          <t>Comptoir</t>
        </is>
      </c>
      <c r="K238" t="inlineStr">
        <is>
          <t>Terminée</t>
        </is>
      </c>
    </row>
    <row r="239">
      <c r="A239" t="inlineStr">
        <is>
          <t>L-00238</t>
        </is>
      </c>
      <c r="B239" t="inlineStr">
        <is>
          <t>54616-W-1</t>
        </is>
      </c>
      <c r="C239" t="inlineStr">
        <is>
          <t>BK995013</t>
        </is>
      </c>
      <c r="D239" s="4" t="n">
        <v>210</v>
      </c>
      <c r="E239" s="5" t="n">
        <v>46251</v>
      </c>
      <c r="F239" s="5" t="n">
        <v>46265</v>
      </c>
      <c r="G239">
        <f>MAX(1,F239-E239)</f>
        <v/>
      </c>
      <c r="H239" s="4">
        <f>D239*G239</f>
        <v/>
      </c>
      <c r="I239">
        <f>IF(TODAY()&lt;E239,"À venir",IF(TODAY()&lt;F239,"En cours","Terminée"))</f>
        <v/>
      </c>
      <c r="J239" t="inlineStr">
        <is>
          <t>WhatsApp</t>
        </is>
      </c>
      <c r="K239" t="inlineStr">
        <is>
          <t>Terminée</t>
        </is>
      </c>
    </row>
    <row r="240">
      <c r="A240" t="inlineStr">
        <is>
          <t>L-00239</t>
        </is>
      </c>
      <c r="B240" t="inlineStr">
        <is>
          <t>62064-H-1</t>
        </is>
      </c>
      <c r="C240" t="inlineStr">
        <is>
          <t>BE121352</t>
        </is>
      </c>
      <c r="D240" s="4" t="n">
        <v>330</v>
      </c>
      <c r="E240" s="5" t="n">
        <v>46251</v>
      </c>
      <c r="F240" s="5" t="n">
        <v>46258</v>
      </c>
      <c r="G240">
        <f>MAX(1,F240-E240)</f>
        <v/>
      </c>
      <c r="H240" s="4">
        <f>D240*G240</f>
        <v/>
      </c>
      <c r="I240">
        <f>IF(TODAY()&lt;E240,"À venir",IF(TODAY()&lt;F240,"En cours","Terminée"))</f>
        <v/>
      </c>
      <c r="J240" t="inlineStr">
        <is>
          <t>Facebook</t>
        </is>
      </c>
      <c r="K240" t="inlineStr">
        <is>
          <t>Terminée</t>
        </is>
      </c>
    </row>
    <row r="241">
      <c r="A241" t="inlineStr">
        <is>
          <t>L-00240</t>
        </is>
      </c>
      <c r="B241" t="inlineStr">
        <is>
          <t>69221-A-1</t>
        </is>
      </c>
      <c r="C241" t="inlineStr">
        <is>
          <t>A9371075</t>
        </is>
      </c>
      <c r="D241" s="4" t="n">
        <v>1440</v>
      </c>
      <c r="E241" s="5" t="n">
        <v>46251</v>
      </c>
      <c r="F241" s="5" t="n">
        <v>46253</v>
      </c>
      <c r="G241">
        <f>MAX(1,F241-E241)</f>
        <v/>
      </c>
      <c r="H241" s="4">
        <f>D241*G241</f>
        <v/>
      </c>
      <c r="I241">
        <f>IF(TODAY()&lt;E241,"À venir",IF(TODAY()&lt;F241,"En cours","Terminée"))</f>
        <v/>
      </c>
      <c r="J241" t="inlineStr">
        <is>
          <t>WhatsApp</t>
        </is>
      </c>
      <c r="K241" t="inlineStr">
        <is>
          <t>Terminée</t>
        </is>
      </c>
    </row>
    <row r="242">
      <c r="A242" t="inlineStr">
        <is>
          <t>L-00241</t>
        </is>
      </c>
      <c r="B242" t="inlineStr">
        <is>
          <t>75329-D-1</t>
        </is>
      </c>
      <c r="C242" t="inlineStr">
        <is>
          <t>A7732341</t>
        </is>
      </c>
      <c r="D242" s="4" t="n">
        <v>560</v>
      </c>
      <c r="E242" s="5" t="n">
        <v>46251</v>
      </c>
      <c r="F242" s="5" t="n">
        <v>46258</v>
      </c>
      <c r="G242">
        <f>MAX(1,F242-E242)</f>
        <v/>
      </c>
      <c r="H242" s="4">
        <f>D242*G242</f>
        <v/>
      </c>
      <c r="I242">
        <f>IF(TODAY()&lt;E242,"À venir",IF(TODAY()&lt;F242,"En cours","Terminée"))</f>
        <v/>
      </c>
      <c r="J242" t="inlineStr">
        <is>
          <t>Téléphone</t>
        </is>
      </c>
      <c r="K242" t="inlineStr">
        <is>
          <t>Terminée</t>
        </is>
      </c>
    </row>
    <row r="243">
      <c r="A243" t="inlineStr">
        <is>
          <t>L-00242</t>
        </is>
      </c>
      <c r="B243" t="inlineStr">
        <is>
          <t>77893-H-1</t>
        </is>
      </c>
      <c r="C243" t="inlineStr">
        <is>
          <t>G8781893</t>
        </is>
      </c>
      <c r="D243" s="4" t="n">
        <v>320</v>
      </c>
      <c r="E243" s="5" t="n">
        <v>46251</v>
      </c>
      <c r="F243" s="5" t="n">
        <v>46254</v>
      </c>
      <c r="G243">
        <f>MAX(1,F243-E243)</f>
        <v/>
      </c>
      <c r="H243" s="4">
        <f>D243*G243</f>
        <v/>
      </c>
      <c r="I243">
        <f>IF(TODAY()&lt;E243,"À venir",IF(TODAY()&lt;F243,"En cours","Terminée"))</f>
        <v/>
      </c>
      <c r="J243" t="inlineStr">
        <is>
          <t>Site web</t>
        </is>
      </c>
      <c r="K243" t="inlineStr">
        <is>
          <t>Terminée</t>
        </is>
      </c>
    </row>
    <row r="244">
      <c r="A244" t="inlineStr">
        <is>
          <t>L-00243</t>
        </is>
      </c>
      <c r="B244" t="inlineStr">
        <is>
          <t>83662-D-1</t>
        </is>
      </c>
      <c r="C244" t="inlineStr">
        <is>
          <t>G4621259</t>
        </is>
      </c>
      <c r="D244" s="4" t="n">
        <v>460</v>
      </c>
      <c r="E244" s="5" t="n">
        <v>46251</v>
      </c>
      <c r="F244" s="5" t="n">
        <v>46254</v>
      </c>
      <c r="G244">
        <f>MAX(1,F244-E244)</f>
        <v/>
      </c>
      <c r="H244" s="4">
        <f>D244*G244</f>
        <v/>
      </c>
      <c r="I244">
        <f>IF(TODAY()&lt;E244,"À venir",IF(TODAY()&lt;F244,"En cours","Terminée"))</f>
        <v/>
      </c>
      <c r="J244" t="inlineStr">
        <is>
          <t>WhatsApp</t>
        </is>
      </c>
      <c r="K244" t="inlineStr">
        <is>
          <t>Terminée</t>
        </is>
      </c>
    </row>
    <row r="245">
      <c r="A245" t="inlineStr">
        <is>
          <t>L-00244</t>
        </is>
      </c>
      <c r="B245" t="inlineStr">
        <is>
          <t>91702-H-1</t>
        </is>
      </c>
      <c r="C245" t="inlineStr">
        <is>
          <t>AE975066</t>
        </is>
      </c>
      <c r="D245" s="4" t="n">
        <v>1040</v>
      </c>
      <c r="E245" s="5" t="n">
        <v>46251</v>
      </c>
      <c r="F245" s="5" t="n">
        <v>46253</v>
      </c>
      <c r="G245">
        <f>MAX(1,F245-E245)</f>
        <v/>
      </c>
      <c r="H245" s="4">
        <f>D245*G245</f>
        <v/>
      </c>
      <c r="I245">
        <f>IF(TODAY()&lt;E245,"À venir",IF(TODAY()&lt;F245,"En cours","Terminée"))</f>
        <v/>
      </c>
      <c r="J245" t="inlineStr">
        <is>
          <t>WhatsApp</t>
        </is>
      </c>
      <c r="K245" t="inlineStr">
        <is>
          <t>Terminée</t>
        </is>
      </c>
    </row>
    <row r="246">
      <c r="A246" t="inlineStr">
        <is>
          <t>L-00245</t>
        </is>
      </c>
      <c r="B246" t="inlineStr">
        <is>
          <t>97618-A-1</t>
        </is>
      </c>
      <c r="C246" t="inlineStr">
        <is>
          <t>AB590499</t>
        </is>
      </c>
      <c r="D246" s="4" t="n">
        <v>520</v>
      </c>
      <c r="E246" s="5" t="n">
        <v>46251</v>
      </c>
      <c r="F246" s="5" t="n">
        <v>46254</v>
      </c>
      <c r="G246">
        <f>MAX(1,F246-E246)</f>
        <v/>
      </c>
      <c r="H246" s="4">
        <f>D246*G246</f>
        <v/>
      </c>
      <c r="I246">
        <f>IF(TODAY()&lt;E246,"À venir",IF(TODAY()&lt;F246,"En cours","Terminée"))</f>
        <v/>
      </c>
      <c r="J246" t="inlineStr">
        <is>
          <t>WhatsApp</t>
        </is>
      </c>
      <c r="K246" t="inlineStr">
        <is>
          <t>Terminée</t>
        </is>
      </c>
    </row>
    <row r="247">
      <c r="A247" t="inlineStr">
        <is>
          <t>L-00246</t>
        </is>
      </c>
      <c r="B247" t="inlineStr">
        <is>
          <t>49965-H-1</t>
        </is>
      </c>
      <c r="C247" t="inlineStr">
        <is>
          <t>AD835232</t>
        </is>
      </c>
      <c r="D247" s="4" t="n">
        <v>1140</v>
      </c>
      <c r="E247" s="5" t="n">
        <v>46252</v>
      </c>
      <c r="F247" s="5" t="n">
        <v>46254</v>
      </c>
      <c r="G247">
        <f>MAX(1,F247-E247)</f>
        <v/>
      </c>
      <c r="H247" s="4">
        <f>D247*G247</f>
        <v/>
      </c>
      <c r="I247">
        <f>IF(TODAY()&lt;E247,"À venir",IF(TODAY()&lt;F247,"En cours","Terminée"))</f>
        <v/>
      </c>
      <c r="J247" t="inlineStr">
        <is>
          <t>Comptoir</t>
        </is>
      </c>
      <c r="K247" t="inlineStr">
        <is>
          <t>Terminée</t>
        </is>
      </c>
    </row>
    <row r="248">
      <c r="A248" t="inlineStr">
        <is>
          <t>L-00247</t>
        </is>
      </c>
      <c r="B248" t="inlineStr">
        <is>
          <t>71302-W-1</t>
        </is>
      </c>
      <c r="C248" t="inlineStr">
        <is>
          <t>AA380924</t>
        </is>
      </c>
      <c r="D248" s="4" t="n">
        <v>430</v>
      </c>
      <c r="E248" s="5" t="n">
        <v>46252</v>
      </c>
      <c r="F248" s="5" t="n">
        <v>46259</v>
      </c>
      <c r="G248">
        <f>MAX(1,F248-E248)</f>
        <v/>
      </c>
      <c r="H248" s="4">
        <f>D248*G248</f>
        <v/>
      </c>
      <c r="I248">
        <f>IF(TODAY()&lt;E248,"À venir",IF(TODAY()&lt;F248,"En cours","Terminée"))</f>
        <v/>
      </c>
      <c r="J248" t="inlineStr">
        <is>
          <t>Booking.com</t>
        </is>
      </c>
      <c r="K248" t="inlineStr">
        <is>
          <t>Terminée</t>
        </is>
      </c>
    </row>
    <row r="249">
      <c r="A249" t="inlineStr">
        <is>
          <t>L-00248</t>
        </is>
      </c>
      <c r="B249" t="inlineStr">
        <is>
          <t>74343-B-1</t>
        </is>
      </c>
      <c r="C249" t="inlineStr">
        <is>
          <t>G1943814</t>
        </is>
      </c>
      <c r="D249" s="4" t="n">
        <v>310</v>
      </c>
      <c r="E249" s="5" t="n">
        <v>46252</v>
      </c>
      <c r="F249" s="5" t="n">
        <v>46257</v>
      </c>
      <c r="G249">
        <f>MAX(1,F249-E249)</f>
        <v/>
      </c>
      <c r="H249" s="4">
        <f>D249*G249</f>
        <v/>
      </c>
      <c r="I249">
        <f>IF(TODAY()&lt;E249,"À venir",IF(TODAY()&lt;F249,"En cours","Terminée"))</f>
        <v/>
      </c>
      <c r="J249" t="inlineStr">
        <is>
          <t>Booking.com</t>
        </is>
      </c>
      <c r="K249" t="inlineStr">
        <is>
          <t>Terminée</t>
        </is>
      </c>
    </row>
    <row r="250">
      <c r="A250" t="inlineStr">
        <is>
          <t>L-00249</t>
        </is>
      </c>
      <c r="B250" t="inlineStr">
        <is>
          <t>94626-B-1</t>
        </is>
      </c>
      <c r="C250" t="inlineStr">
        <is>
          <t>AB127910</t>
        </is>
      </c>
      <c r="D250" s="4" t="n">
        <v>1090</v>
      </c>
      <c r="E250" s="5" t="n">
        <v>46252</v>
      </c>
      <c r="F250" s="5" t="n">
        <v>46266</v>
      </c>
      <c r="G250">
        <f>MAX(1,F250-E250)</f>
        <v/>
      </c>
      <c r="H250" s="4">
        <f>D250*G250</f>
        <v/>
      </c>
      <c r="I250">
        <f>IF(TODAY()&lt;E250,"À venir",IF(TODAY()&lt;F250,"En cours","Terminée"))</f>
        <v/>
      </c>
      <c r="J250" t="inlineStr">
        <is>
          <t>WhatsApp</t>
        </is>
      </c>
      <c r="K250" t="inlineStr">
        <is>
          <t>Terminée</t>
        </is>
      </c>
    </row>
    <row r="251">
      <c r="A251" t="inlineStr">
        <is>
          <t>L-00250</t>
        </is>
      </c>
      <c r="B251" t="inlineStr">
        <is>
          <t>96667-D-1</t>
        </is>
      </c>
      <c r="C251" t="inlineStr">
        <is>
          <t>A8270991</t>
        </is>
      </c>
      <c r="D251" s="4" t="n">
        <v>980</v>
      </c>
      <c r="E251" s="5" t="n">
        <v>46252</v>
      </c>
      <c r="F251" s="5" t="n">
        <v>46266</v>
      </c>
      <c r="G251">
        <f>MAX(1,F251-E251)</f>
        <v/>
      </c>
      <c r="H251" s="4">
        <f>D251*G251</f>
        <v/>
      </c>
      <c r="I251">
        <f>IF(TODAY()&lt;E251,"À venir",IF(TODAY()&lt;F251,"En cours","Terminée"))</f>
        <v/>
      </c>
      <c r="J251" t="inlineStr">
        <is>
          <t>Booking.com</t>
        </is>
      </c>
      <c r="K251" t="inlineStr">
        <is>
          <t>Terminée</t>
        </is>
      </c>
    </row>
    <row r="252">
      <c r="A252" t="inlineStr">
        <is>
          <t>L-00251</t>
        </is>
      </c>
      <c r="B252" t="inlineStr">
        <is>
          <t>97018-A-1</t>
        </is>
      </c>
      <c r="C252" t="inlineStr">
        <is>
          <t>AE576350</t>
        </is>
      </c>
      <c r="D252" s="4" t="n">
        <v>470</v>
      </c>
      <c r="E252" s="5" t="n">
        <v>46252</v>
      </c>
      <c r="F252" s="5" t="n">
        <v>46256</v>
      </c>
      <c r="G252">
        <f>MAX(1,F252-E252)</f>
        <v/>
      </c>
      <c r="H252" s="4">
        <f>D252*G252</f>
        <v/>
      </c>
      <c r="I252">
        <f>IF(TODAY()&lt;E252,"À venir",IF(TODAY()&lt;F252,"En cours","Terminée"))</f>
        <v/>
      </c>
      <c r="J252" t="inlineStr">
        <is>
          <t>Facebook</t>
        </is>
      </c>
      <c r="K252" t="inlineStr">
        <is>
          <t>Terminée</t>
        </is>
      </c>
    </row>
    <row r="253">
      <c r="A253" t="inlineStr">
        <is>
          <t>L-00252</t>
        </is>
      </c>
      <c r="B253" t="inlineStr">
        <is>
          <t>83373-B-1</t>
        </is>
      </c>
      <c r="C253" t="inlineStr">
        <is>
          <t>DA563230</t>
        </is>
      </c>
      <c r="D253" s="4" t="n">
        <v>320</v>
      </c>
      <c r="E253" s="5" t="n">
        <v>46253</v>
      </c>
      <c r="F253" s="5" t="n">
        <v>46267</v>
      </c>
      <c r="G253">
        <f>MAX(1,F253-E253)</f>
        <v/>
      </c>
      <c r="H253" s="4">
        <f>D253*G253</f>
        <v/>
      </c>
      <c r="I253">
        <f>IF(TODAY()&lt;E253,"À venir",IF(TODAY()&lt;F253,"En cours","Terminée"))</f>
        <v/>
      </c>
      <c r="J253" t="inlineStr">
        <is>
          <t>WhatsApp</t>
        </is>
      </c>
      <c r="K253" t="inlineStr">
        <is>
          <t>Terminée</t>
        </is>
      </c>
    </row>
    <row r="254">
      <c r="A254" t="inlineStr">
        <is>
          <t>L-00253</t>
        </is>
      </c>
      <c r="B254" t="inlineStr">
        <is>
          <t>91567-W-1</t>
        </is>
      </c>
      <c r="C254" t="inlineStr">
        <is>
          <t>BE195212</t>
        </is>
      </c>
      <c r="D254" s="4" t="n">
        <v>250</v>
      </c>
      <c r="E254" s="5" t="n">
        <v>46253</v>
      </c>
      <c r="F254" s="5" t="n">
        <v>46258</v>
      </c>
      <c r="G254">
        <f>MAX(1,F254-E254)</f>
        <v/>
      </c>
      <c r="H254" s="4">
        <f>D254*G254</f>
        <v/>
      </c>
      <c r="I254">
        <f>IF(TODAY()&lt;E254,"À venir",IF(TODAY()&lt;F254,"En cours","Terminée"))</f>
        <v/>
      </c>
      <c r="J254" t="inlineStr">
        <is>
          <t>Facebook</t>
        </is>
      </c>
      <c r="K254" t="inlineStr">
        <is>
          <t>Terminée</t>
        </is>
      </c>
    </row>
    <row r="255">
      <c r="A255" t="inlineStr">
        <is>
          <t>L-00254</t>
        </is>
      </c>
      <c r="B255" t="inlineStr">
        <is>
          <t>33992-B-1</t>
        </is>
      </c>
      <c r="C255" t="inlineStr">
        <is>
          <t>G1943814</t>
        </is>
      </c>
      <c r="D255" s="4" t="n">
        <v>530</v>
      </c>
      <c r="E255" s="5" t="n">
        <v>46254</v>
      </c>
      <c r="F255" s="5" t="n">
        <v>46261</v>
      </c>
      <c r="G255">
        <f>MAX(1,F255-E255)</f>
        <v/>
      </c>
      <c r="H255" s="4">
        <f>D255*G255</f>
        <v/>
      </c>
      <c r="I255">
        <f>IF(TODAY()&lt;E255,"À venir",IF(TODAY()&lt;F255,"En cours","Terminée"))</f>
        <v/>
      </c>
      <c r="J255" t="inlineStr">
        <is>
          <t>WhatsApp</t>
        </is>
      </c>
      <c r="K255" t="inlineStr">
        <is>
          <t>Terminée</t>
        </is>
      </c>
    </row>
    <row r="256">
      <c r="A256" t="inlineStr">
        <is>
          <t>L-00255</t>
        </is>
      </c>
      <c r="B256" t="inlineStr">
        <is>
          <t>62268-B-1</t>
        </is>
      </c>
      <c r="C256" t="inlineStr">
        <is>
          <t>BK301004</t>
        </is>
      </c>
      <c r="D256" s="4" t="n">
        <v>330</v>
      </c>
      <c r="E256" s="5" t="n">
        <v>46254</v>
      </c>
      <c r="F256" s="5" t="n">
        <v>46257</v>
      </c>
      <c r="G256">
        <f>MAX(1,F256-E256)</f>
        <v/>
      </c>
      <c r="H256" s="4">
        <f>D256*G256</f>
        <v/>
      </c>
      <c r="I256">
        <f>IF(TODAY()&lt;E256,"À venir",IF(TODAY()&lt;F256,"En cours","Terminée"))</f>
        <v/>
      </c>
      <c r="J256" t="inlineStr">
        <is>
          <t>WhatsApp</t>
        </is>
      </c>
      <c r="K256" t="inlineStr">
        <is>
          <t>Terminée</t>
        </is>
      </c>
    </row>
    <row r="257">
      <c r="A257" t="inlineStr">
        <is>
          <t>L-00256</t>
        </is>
      </c>
      <c r="B257" t="inlineStr">
        <is>
          <t>69221-A-1</t>
        </is>
      </c>
      <c r="C257" t="inlineStr">
        <is>
          <t>BE195212</t>
        </is>
      </c>
      <c r="D257" s="4" t="n">
        <v>1400</v>
      </c>
      <c r="E257" s="5" t="n">
        <v>46254</v>
      </c>
      <c r="F257" s="5" t="n">
        <v>46259</v>
      </c>
      <c r="G257">
        <f>MAX(1,F257-E257)</f>
        <v/>
      </c>
      <c r="H257" s="4">
        <f>D257*G257</f>
        <v/>
      </c>
      <c r="I257">
        <f>IF(TODAY()&lt;E257,"À venir",IF(TODAY()&lt;F257,"En cours","Terminée"))</f>
        <v/>
      </c>
      <c r="J257" t="inlineStr">
        <is>
          <t>Téléphone</t>
        </is>
      </c>
      <c r="K257" t="inlineStr">
        <is>
          <t>Terminée</t>
        </is>
      </c>
    </row>
    <row r="258">
      <c r="A258" t="inlineStr">
        <is>
          <t>L-00257</t>
        </is>
      </c>
      <c r="B258" t="inlineStr">
        <is>
          <t>72769-D-1</t>
        </is>
      </c>
      <c r="C258" t="inlineStr">
        <is>
          <t>A2370932</t>
        </is>
      </c>
      <c r="D258" s="4" t="n">
        <v>210</v>
      </c>
      <c r="E258" s="5" t="n">
        <v>46254</v>
      </c>
      <c r="F258" s="5" t="n">
        <v>46268</v>
      </c>
      <c r="G258">
        <f>MAX(1,F258-E258)</f>
        <v/>
      </c>
      <c r="H258" s="4">
        <f>D258*G258</f>
        <v/>
      </c>
      <c r="I258">
        <f>IF(TODAY()&lt;E258,"À venir",IF(TODAY()&lt;F258,"En cours","Terminée"))</f>
        <v/>
      </c>
      <c r="J258" t="inlineStr">
        <is>
          <t>Comptoir</t>
        </is>
      </c>
      <c r="K258" t="inlineStr">
        <is>
          <t>Terminée</t>
        </is>
      </c>
    </row>
    <row r="259">
      <c r="A259" t="inlineStr">
        <is>
          <t>L-00258</t>
        </is>
      </c>
      <c r="B259" t="inlineStr">
        <is>
          <t>91702-H-1</t>
        </is>
      </c>
      <c r="C259" t="inlineStr">
        <is>
          <t>AD760481</t>
        </is>
      </c>
      <c r="D259" s="4" t="n">
        <v>1050</v>
      </c>
      <c r="E259" s="5" t="n">
        <v>46254</v>
      </c>
      <c r="F259" s="5" t="n">
        <v>46257</v>
      </c>
      <c r="G259">
        <f>MAX(1,F259-E259)</f>
        <v/>
      </c>
      <c r="H259" s="4">
        <f>D259*G259</f>
        <v/>
      </c>
      <c r="I259">
        <f>IF(TODAY()&lt;E259,"À venir",IF(TODAY()&lt;F259,"En cours","Terminée"))</f>
        <v/>
      </c>
      <c r="J259" t="inlineStr">
        <is>
          <t>Téléphone</t>
        </is>
      </c>
      <c r="K259" t="inlineStr">
        <is>
          <t>Terminée</t>
        </is>
      </c>
    </row>
    <row r="260">
      <c r="A260" t="inlineStr">
        <is>
          <t>L-00259</t>
        </is>
      </c>
      <c r="B260" t="inlineStr">
        <is>
          <t>49965-H-1</t>
        </is>
      </c>
      <c r="C260" t="inlineStr">
        <is>
          <t>DA802571</t>
        </is>
      </c>
      <c r="D260" s="4" t="n">
        <v>1210</v>
      </c>
      <c r="E260" s="5" t="n">
        <v>46255</v>
      </c>
      <c r="F260" s="5" t="n">
        <v>46260</v>
      </c>
      <c r="G260">
        <f>MAX(1,F260-E260)</f>
        <v/>
      </c>
      <c r="H260" s="4">
        <f>D260*G260</f>
        <v/>
      </c>
      <c r="I260">
        <f>IF(TODAY()&lt;E260,"À venir",IF(TODAY()&lt;F260,"En cours","Terminée"))</f>
        <v/>
      </c>
      <c r="J260" t="inlineStr">
        <is>
          <t>WhatsApp</t>
        </is>
      </c>
      <c r="K260" t="inlineStr">
        <is>
          <t>Terminée</t>
        </is>
      </c>
    </row>
    <row r="261">
      <c r="A261" t="inlineStr">
        <is>
          <t>L-00260</t>
        </is>
      </c>
      <c r="B261" t="inlineStr">
        <is>
          <t>71994-D-1</t>
        </is>
      </c>
      <c r="C261" t="inlineStr">
        <is>
          <t>AA866521</t>
        </is>
      </c>
      <c r="D261" s="4" t="n">
        <v>660</v>
      </c>
      <c r="E261" s="5" t="n">
        <v>46255</v>
      </c>
      <c r="F261" s="5" t="n">
        <v>46262</v>
      </c>
      <c r="G261">
        <f>MAX(1,F261-E261)</f>
        <v/>
      </c>
      <c r="H261" s="4">
        <f>D261*G261</f>
        <v/>
      </c>
      <c r="I261">
        <f>IF(TODAY()&lt;E261,"À venir",IF(TODAY()&lt;F261,"En cours","Terminée"))</f>
        <v/>
      </c>
      <c r="J261" t="inlineStr">
        <is>
          <t>WhatsApp</t>
        </is>
      </c>
      <c r="K261" t="inlineStr">
        <is>
          <t>Terminée</t>
        </is>
      </c>
    </row>
    <row r="262">
      <c r="A262" t="inlineStr">
        <is>
          <t>L-00261</t>
        </is>
      </c>
      <c r="B262" t="inlineStr">
        <is>
          <t>76545-W-1</t>
        </is>
      </c>
      <c r="C262" t="inlineStr">
        <is>
          <t>DA563230</t>
        </is>
      </c>
      <c r="D262" s="4" t="n">
        <v>700</v>
      </c>
      <c r="E262" s="5" t="n">
        <v>46255</v>
      </c>
      <c r="F262" s="5" t="n">
        <v>46269</v>
      </c>
      <c r="G262">
        <f>MAX(1,F262-E262)</f>
        <v/>
      </c>
      <c r="H262" s="4">
        <f>D262*G262</f>
        <v/>
      </c>
      <c r="I262">
        <f>IF(TODAY()&lt;E262,"À venir",IF(TODAY()&lt;F262,"En cours","Terminée"))</f>
        <v/>
      </c>
      <c r="J262" t="inlineStr">
        <is>
          <t>Instagram</t>
        </is>
      </c>
      <c r="K262" t="inlineStr">
        <is>
          <t>Terminée</t>
        </is>
      </c>
    </row>
    <row r="263">
      <c r="A263" t="inlineStr">
        <is>
          <t>L-00262</t>
        </is>
      </c>
      <c r="B263" t="inlineStr">
        <is>
          <t>77893-H-1</t>
        </is>
      </c>
      <c r="C263" t="inlineStr">
        <is>
          <t>AE201114</t>
        </is>
      </c>
      <c r="D263" s="4" t="n">
        <v>330</v>
      </c>
      <c r="E263" s="5" t="n">
        <v>46255</v>
      </c>
      <c r="F263" s="5" t="n">
        <v>46257</v>
      </c>
      <c r="G263">
        <f>MAX(1,F263-E263)</f>
        <v/>
      </c>
      <c r="H263" s="4">
        <f>D263*G263</f>
        <v/>
      </c>
      <c r="I263">
        <f>IF(TODAY()&lt;E263,"À venir",IF(TODAY()&lt;F263,"En cours","Terminée"))</f>
        <v/>
      </c>
      <c r="J263" t="inlineStr">
        <is>
          <t>Téléphone</t>
        </is>
      </c>
      <c r="K263" t="inlineStr">
        <is>
          <t>Terminée</t>
        </is>
      </c>
    </row>
    <row r="264">
      <c r="A264" t="inlineStr">
        <is>
          <t>L-00263</t>
        </is>
      </c>
      <c r="B264" t="inlineStr">
        <is>
          <t>83662-D-1</t>
        </is>
      </c>
      <c r="C264" t="inlineStr">
        <is>
          <t>AE975066</t>
        </is>
      </c>
      <c r="D264" s="4" t="n">
        <v>440</v>
      </c>
      <c r="E264" s="5" t="n">
        <v>46255</v>
      </c>
      <c r="F264" s="5" t="n">
        <v>46269</v>
      </c>
      <c r="G264">
        <f>MAX(1,F264-E264)</f>
        <v/>
      </c>
      <c r="H264" s="4">
        <f>D264*G264</f>
        <v/>
      </c>
      <c r="I264">
        <f>IF(TODAY()&lt;E264,"À venir",IF(TODAY()&lt;F264,"En cours","Terminée"))</f>
        <v/>
      </c>
      <c r="J264" t="inlineStr">
        <is>
          <t>WhatsApp</t>
        </is>
      </c>
      <c r="K264" t="inlineStr">
        <is>
          <t>Terminée</t>
        </is>
      </c>
    </row>
    <row r="265">
      <c r="A265" t="inlineStr">
        <is>
          <t>L-00264</t>
        </is>
      </c>
      <c r="B265" t="inlineStr">
        <is>
          <t>85272-B-1</t>
        </is>
      </c>
      <c r="C265" t="inlineStr">
        <is>
          <t>DE7444227</t>
        </is>
      </c>
      <c r="D265" s="4" t="n">
        <v>580</v>
      </c>
      <c r="E265" s="5" t="n">
        <v>46255</v>
      </c>
      <c r="F265" s="5" t="n">
        <v>46260</v>
      </c>
      <c r="G265">
        <f>MAX(1,F265-E265)</f>
        <v/>
      </c>
      <c r="H265" s="4">
        <f>D265*G265</f>
        <v/>
      </c>
      <c r="I265">
        <f>IF(TODAY()&lt;E265,"À venir",IF(TODAY()&lt;F265,"En cours","Terminée"))</f>
        <v/>
      </c>
      <c r="J265" t="inlineStr">
        <is>
          <t>Booking.com</t>
        </is>
      </c>
      <c r="K265" t="inlineStr">
        <is>
          <t>Terminée</t>
        </is>
      </c>
    </row>
    <row r="266">
      <c r="A266" t="inlineStr">
        <is>
          <t>L-00265</t>
        </is>
      </c>
      <c r="B266" t="inlineStr">
        <is>
          <t>97618-A-1</t>
        </is>
      </c>
      <c r="C266" t="inlineStr">
        <is>
          <t>AA681603</t>
        </is>
      </c>
      <c r="D266" s="4" t="n">
        <v>530</v>
      </c>
      <c r="E266" s="5" t="n">
        <v>46255</v>
      </c>
      <c r="F266" s="5" t="n">
        <v>46260</v>
      </c>
      <c r="G266">
        <f>MAX(1,F266-E266)</f>
        <v/>
      </c>
      <c r="H266" s="4">
        <f>D266*G266</f>
        <v/>
      </c>
      <c r="I266">
        <f>IF(TODAY()&lt;E266,"À venir",IF(TODAY()&lt;F266,"En cours","Terminée"))</f>
        <v/>
      </c>
      <c r="J266" t="inlineStr">
        <is>
          <t>Instagram</t>
        </is>
      </c>
      <c r="K266" t="inlineStr">
        <is>
          <t>Terminée</t>
        </is>
      </c>
    </row>
    <row r="267">
      <c r="A267" t="inlineStr">
        <is>
          <t>L-00266</t>
        </is>
      </c>
      <c r="B267" t="inlineStr">
        <is>
          <t>22080-H-1</t>
        </is>
      </c>
      <c r="C267" t="inlineStr">
        <is>
          <t>AA206428</t>
        </is>
      </c>
      <c r="D267" s="4" t="n">
        <v>370</v>
      </c>
      <c r="E267" s="5" t="n">
        <v>46256</v>
      </c>
      <c r="F267" s="5" t="n">
        <v>46259</v>
      </c>
      <c r="G267">
        <f>MAX(1,F267-E267)</f>
        <v/>
      </c>
      <c r="H267" s="4">
        <f>D267*G267</f>
        <v/>
      </c>
      <c r="I267">
        <f>IF(TODAY()&lt;E267,"À venir",IF(TODAY()&lt;F267,"En cours","Terminée"))</f>
        <v/>
      </c>
      <c r="J267" t="inlineStr">
        <is>
          <t>Comptoir</t>
        </is>
      </c>
      <c r="K267" t="inlineStr">
        <is>
          <t>Terminée</t>
        </is>
      </c>
    </row>
    <row r="268">
      <c r="A268" t="inlineStr">
        <is>
          <t>L-00267</t>
        </is>
      </c>
      <c r="B268" t="inlineStr">
        <is>
          <t>85684-A-1</t>
        </is>
      </c>
      <c r="C268" t="inlineStr">
        <is>
          <t>EE109907</t>
        </is>
      </c>
      <c r="D268" s="4" t="n">
        <v>290</v>
      </c>
      <c r="E268" s="5" t="n">
        <v>46256</v>
      </c>
      <c r="F268" s="5" t="n">
        <v>46259</v>
      </c>
      <c r="G268">
        <f>MAX(1,F268-E268)</f>
        <v/>
      </c>
      <c r="H268" s="4">
        <f>D268*G268</f>
        <v/>
      </c>
      <c r="I268">
        <f>IF(TODAY()&lt;E268,"À venir",IF(TODAY()&lt;F268,"En cours","Terminée"))</f>
        <v/>
      </c>
      <c r="J268" t="inlineStr">
        <is>
          <t>Instagram</t>
        </is>
      </c>
      <c r="K268" t="inlineStr">
        <is>
          <t>Terminée</t>
        </is>
      </c>
    </row>
    <row r="269">
      <c r="A269" t="inlineStr">
        <is>
          <t>L-00268</t>
        </is>
      </c>
      <c r="B269" t="inlineStr">
        <is>
          <t>47649-D-1</t>
        </is>
      </c>
      <c r="C269" t="inlineStr">
        <is>
          <t>BK365351</t>
        </is>
      </c>
      <c r="D269" s="4" t="n">
        <v>310</v>
      </c>
      <c r="E269" s="5" t="n">
        <v>46257</v>
      </c>
      <c r="F269" s="5" t="n">
        <v>46264</v>
      </c>
      <c r="G269">
        <f>MAX(1,F269-E269)</f>
        <v/>
      </c>
      <c r="H269" s="4">
        <f>D269*G269</f>
        <v/>
      </c>
      <c r="I269">
        <f>IF(TODAY()&lt;E269,"À venir",IF(TODAY()&lt;F269,"En cours","Terminée"))</f>
        <v/>
      </c>
      <c r="J269" t="inlineStr">
        <is>
          <t>WhatsApp</t>
        </is>
      </c>
      <c r="K269" t="inlineStr">
        <is>
          <t>Terminée</t>
        </is>
      </c>
    </row>
    <row r="270">
      <c r="A270" t="inlineStr">
        <is>
          <t>L-00269</t>
        </is>
      </c>
      <c r="B270" t="inlineStr">
        <is>
          <t>88664-D-1</t>
        </is>
      </c>
      <c r="C270" t="inlineStr">
        <is>
          <t>DA850793</t>
        </is>
      </c>
      <c r="D270" s="4" t="n">
        <v>390</v>
      </c>
      <c r="E270" s="5" t="n">
        <v>46257</v>
      </c>
      <c r="F270" s="5" t="n">
        <v>46260</v>
      </c>
      <c r="G270">
        <f>MAX(1,F270-E270)</f>
        <v/>
      </c>
      <c r="H270" s="4">
        <f>D270*G270</f>
        <v/>
      </c>
      <c r="I270">
        <f>IF(TODAY()&lt;E270,"À venir",IF(TODAY()&lt;F270,"En cours","Terminée"))</f>
        <v/>
      </c>
      <c r="J270" t="inlineStr">
        <is>
          <t>Site web</t>
        </is>
      </c>
      <c r="K270" t="inlineStr">
        <is>
          <t>Terminée</t>
        </is>
      </c>
    </row>
    <row r="271">
      <c r="A271" t="inlineStr">
        <is>
          <t>L-00270</t>
        </is>
      </c>
      <c r="B271" t="inlineStr">
        <is>
          <t>97018-A-1</t>
        </is>
      </c>
      <c r="C271" t="inlineStr">
        <is>
          <t>A9203288</t>
        </is>
      </c>
      <c r="D271" s="4" t="n">
        <v>430</v>
      </c>
      <c r="E271" s="5" t="n">
        <v>46257</v>
      </c>
      <c r="F271" s="5" t="n">
        <v>46267</v>
      </c>
      <c r="G271">
        <f>MAX(1,F271-E271)</f>
        <v/>
      </c>
      <c r="H271" s="4">
        <f>D271*G271</f>
        <v/>
      </c>
      <c r="I271">
        <f>IF(TODAY()&lt;E271,"À venir",IF(TODAY()&lt;F271,"En cours","Terminée"))</f>
        <v/>
      </c>
      <c r="J271" t="inlineStr">
        <is>
          <t>Site web</t>
        </is>
      </c>
      <c r="K271" t="inlineStr">
        <is>
          <t>Terminée</t>
        </is>
      </c>
    </row>
    <row r="272">
      <c r="A272" t="inlineStr">
        <is>
          <t>L-00271</t>
        </is>
      </c>
      <c r="B272" t="inlineStr">
        <is>
          <t>21066-H-1</t>
        </is>
      </c>
      <c r="C272" t="inlineStr">
        <is>
          <t>G8446428</t>
        </is>
      </c>
      <c r="D272" s="4" t="n">
        <v>650</v>
      </c>
      <c r="E272" s="5" t="n">
        <v>46258</v>
      </c>
      <c r="F272" s="5" t="n">
        <v>46260</v>
      </c>
      <c r="G272">
        <f>MAX(1,F272-E272)</f>
        <v/>
      </c>
      <c r="H272" s="4">
        <f>D272*G272</f>
        <v/>
      </c>
      <c r="I272">
        <f>IF(TODAY()&lt;E272,"À venir",IF(TODAY()&lt;F272,"En cours","Terminée"))</f>
        <v/>
      </c>
      <c r="J272" t="inlineStr">
        <is>
          <t>Instagram</t>
        </is>
      </c>
      <c r="K272" t="inlineStr">
        <is>
          <t>Terminée</t>
        </is>
      </c>
    </row>
    <row r="273">
      <c r="A273" t="inlineStr">
        <is>
          <t>L-00272</t>
        </is>
      </c>
      <c r="B273" t="inlineStr">
        <is>
          <t>25835-W-1</t>
        </is>
      </c>
      <c r="C273" t="inlineStr">
        <is>
          <t>G1943814</t>
        </is>
      </c>
      <c r="D273" s="4" t="n">
        <v>560</v>
      </c>
      <c r="E273" s="5" t="n">
        <v>46258</v>
      </c>
      <c r="F273" s="5" t="n">
        <v>46265</v>
      </c>
      <c r="G273">
        <f>MAX(1,F273-E273)</f>
        <v/>
      </c>
      <c r="H273" s="4">
        <f>D273*G273</f>
        <v/>
      </c>
      <c r="I273">
        <f>IF(TODAY()&lt;E273,"À venir",IF(TODAY()&lt;F273,"En cours","Terminée"))</f>
        <v/>
      </c>
      <c r="J273" t="inlineStr">
        <is>
          <t>WhatsApp</t>
        </is>
      </c>
      <c r="K273" t="inlineStr">
        <is>
          <t>Terminée</t>
        </is>
      </c>
    </row>
    <row r="274">
      <c r="A274" t="inlineStr">
        <is>
          <t>L-00273</t>
        </is>
      </c>
      <c r="B274" t="inlineStr">
        <is>
          <t>36193-W-1</t>
        </is>
      </c>
      <c r="C274" t="inlineStr">
        <is>
          <t>EE613807</t>
        </is>
      </c>
      <c r="D274" s="4" t="n">
        <v>530</v>
      </c>
      <c r="E274" s="5" t="n">
        <v>46258</v>
      </c>
      <c r="F274" s="5" t="n">
        <v>46263</v>
      </c>
      <c r="G274">
        <f>MAX(1,F274-E274)</f>
        <v/>
      </c>
      <c r="H274" s="4">
        <f>D274*G274</f>
        <v/>
      </c>
      <c r="I274">
        <f>IF(TODAY()&lt;E274,"À venir",IF(TODAY()&lt;F274,"En cours","Terminée"))</f>
        <v/>
      </c>
      <c r="J274" t="inlineStr">
        <is>
          <t>WhatsApp</t>
        </is>
      </c>
      <c r="K274" t="inlineStr">
        <is>
          <t>Terminée</t>
        </is>
      </c>
    </row>
    <row r="275">
      <c r="A275" t="inlineStr">
        <is>
          <t>L-00274</t>
        </is>
      </c>
      <c r="B275" t="inlineStr">
        <is>
          <t>62268-B-1</t>
        </is>
      </c>
      <c r="C275" t="inlineStr">
        <is>
          <t>BE636382</t>
        </is>
      </c>
      <c r="D275" s="4" t="n">
        <v>350</v>
      </c>
      <c r="E275" s="5" t="n">
        <v>46258</v>
      </c>
      <c r="F275" s="5" t="n">
        <v>46261</v>
      </c>
      <c r="G275">
        <f>MAX(1,F275-E275)</f>
        <v/>
      </c>
      <c r="H275" s="4">
        <f>D275*G275</f>
        <v/>
      </c>
      <c r="I275">
        <f>IF(TODAY()&lt;E275,"À venir",IF(TODAY()&lt;F275,"En cours","Terminée"))</f>
        <v/>
      </c>
      <c r="J275" t="inlineStr">
        <is>
          <t>WhatsApp</t>
        </is>
      </c>
      <c r="K275" t="inlineStr">
        <is>
          <t>Terminée</t>
        </is>
      </c>
    </row>
    <row r="276">
      <c r="A276" t="inlineStr">
        <is>
          <t>L-00275</t>
        </is>
      </c>
      <c r="B276" t="inlineStr">
        <is>
          <t>74343-B-1</t>
        </is>
      </c>
      <c r="C276" t="inlineStr">
        <is>
          <t>CD966074</t>
        </is>
      </c>
      <c r="D276" s="4" t="n">
        <v>310</v>
      </c>
      <c r="E276" s="5" t="n">
        <v>46258</v>
      </c>
      <c r="F276" s="5" t="n">
        <v>46260</v>
      </c>
      <c r="G276">
        <f>MAX(1,F276-E276)</f>
        <v/>
      </c>
      <c r="H276" s="4">
        <f>D276*G276</f>
        <v/>
      </c>
      <c r="I276">
        <f>IF(TODAY()&lt;E276,"À venir",IF(TODAY()&lt;F276,"En cours","Terminée"))</f>
        <v/>
      </c>
      <c r="J276" t="inlineStr">
        <is>
          <t>Booking.com</t>
        </is>
      </c>
      <c r="K276" t="inlineStr">
        <is>
          <t>Terminée</t>
        </is>
      </c>
    </row>
    <row r="277">
      <c r="A277" t="inlineStr">
        <is>
          <t>L-00276</t>
        </is>
      </c>
      <c r="B277" t="inlineStr">
        <is>
          <t>77893-H-1</t>
        </is>
      </c>
      <c r="C277" t="inlineStr">
        <is>
          <t>CD761106</t>
        </is>
      </c>
      <c r="D277" s="4" t="n">
        <v>330</v>
      </c>
      <c r="E277" s="5" t="n">
        <v>46258</v>
      </c>
      <c r="F277" s="5" t="n">
        <v>46263</v>
      </c>
      <c r="G277">
        <f>MAX(1,F277-E277)</f>
        <v/>
      </c>
      <c r="H277" s="4">
        <f>D277*G277</f>
        <v/>
      </c>
      <c r="I277">
        <f>IF(TODAY()&lt;E277,"À venir",IF(TODAY()&lt;F277,"En cours","Terminée"))</f>
        <v/>
      </c>
      <c r="J277" t="inlineStr">
        <is>
          <t>Facebook</t>
        </is>
      </c>
      <c r="K277" t="inlineStr">
        <is>
          <t>Terminée</t>
        </is>
      </c>
    </row>
    <row r="278">
      <c r="A278" t="inlineStr">
        <is>
          <t>L-00277</t>
        </is>
      </c>
      <c r="B278" t="inlineStr">
        <is>
          <t>91702-H-1</t>
        </is>
      </c>
      <c r="C278" t="inlineStr">
        <is>
          <t>A9849560</t>
        </is>
      </c>
      <c r="D278" s="4" t="n">
        <v>1000</v>
      </c>
      <c r="E278" s="5" t="n">
        <v>46258</v>
      </c>
      <c r="F278" s="5" t="n">
        <v>46260</v>
      </c>
      <c r="G278">
        <f>MAX(1,F278-E278)</f>
        <v/>
      </c>
      <c r="H278" s="4">
        <f>D278*G278</f>
        <v/>
      </c>
      <c r="I278">
        <f>IF(TODAY()&lt;E278,"À venir",IF(TODAY()&lt;F278,"En cours","Terminée"))</f>
        <v/>
      </c>
      <c r="J278" t="inlineStr">
        <is>
          <t>WhatsApp</t>
        </is>
      </c>
      <c r="K278" t="inlineStr">
        <is>
          <t>Terminée</t>
        </is>
      </c>
    </row>
    <row r="279">
      <c r="A279" t="inlineStr">
        <is>
          <t>L-00278</t>
        </is>
      </c>
      <c r="B279" t="inlineStr">
        <is>
          <t>75329-D-1</t>
        </is>
      </c>
      <c r="C279" t="inlineStr">
        <is>
          <t>G5212575</t>
        </is>
      </c>
      <c r="D279" s="4" t="n">
        <v>610</v>
      </c>
      <c r="E279" s="5" t="n">
        <v>46259</v>
      </c>
      <c r="F279" s="5" t="n">
        <v>46261</v>
      </c>
      <c r="G279">
        <f>MAX(1,F279-E279)</f>
        <v/>
      </c>
      <c r="H279" s="4">
        <f>D279*G279</f>
        <v/>
      </c>
      <c r="I279">
        <f>IF(TODAY()&lt;E279,"À venir",IF(TODAY()&lt;F279,"En cours","Terminée"))</f>
        <v/>
      </c>
      <c r="J279" t="inlineStr">
        <is>
          <t>WhatsApp</t>
        </is>
      </c>
      <c r="K279" t="inlineStr">
        <is>
          <t>Terminée</t>
        </is>
      </c>
    </row>
    <row r="280">
      <c r="A280" t="inlineStr">
        <is>
          <t>L-00279</t>
        </is>
      </c>
      <c r="B280" t="inlineStr">
        <is>
          <t>91567-W-1</t>
        </is>
      </c>
      <c r="C280" t="inlineStr">
        <is>
          <t>G5763862</t>
        </is>
      </c>
      <c r="D280" s="4" t="n">
        <v>260</v>
      </c>
      <c r="E280" s="5" t="n">
        <v>46259</v>
      </c>
      <c r="F280" s="5" t="n">
        <v>46264</v>
      </c>
      <c r="G280">
        <f>MAX(1,F280-E280)</f>
        <v/>
      </c>
      <c r="H280" s="4">
        <f>D280*G280</f>
        <v/>
      </c>
      <c r="I280">
        <f>IF(TODAY()&lt;E280,"À venir",IF(TODAY()&lt;F280,"En cours","Terminée"))</f>
        <v/>
      </c>
      <c r="J280" t="inlineStr">
        <is>
          <t>WhatsApp</t>
        </is>
      </c>
      <c r="K280" t="inlineStr">
        <is>
          <t>Terminée</t>
        </is>
      </c>
    </row>
    <row r="281">
      <c r="A281" t="inlineStr">
        <is>
          <t>L-00280</t>
        </is>
      </c>
      <c r="B281" t="inlineStr">
        <is>
          <t>62064-H-1</t>
        </is>
      </c>
      <c r="C281" t="inlineStr">
        <is>
          <t>DA763793</t>
        </is>
      </c>
      <c r="D281" s="4" t="n">
        <v>340</v>
      </c>
      <c r="E281" s="5" t="n">
        <v>46260</v>
      </c>
      <c r="F281" s="5" t="n">
        <v>46267</v>
      </c>
      <c r="G281">
        <f>MAX(1,F281-E281)</f>
        <v/>
      </c>
      <c r="H281" s="4">
        <f>D281*G281</f>
        <v/>
      </c>
      <c r="I281">
        <f>IF(TODAY()&lt;E281,"À venir",IF(TODAY()&lt;F281,"En cours","Terminée"))</f>
        <v/>
      </c>
      <c r="J281" t="inlineStr">
        <is>
          <t>Site web</t>
        </is>
      </c>
      <c r="K281" t="inlineStr">
        <is>
          <t>Terminée</t>
        </is>
      </c>
    </row>
    <row r="282">
      <c r="A282" t="inlineStr">
        <is>
          <t>L-00281</t>
        </is>
      </c>
      <c r="B282" t="inlineStr">
        <is>
          <t>69221-A-1</t>
        </is>
      </c>
      <c r="C282" t="inlineStr">
        <is>
          <t>BK141422</t>
        </is>
      </c>
      <c r="D282" s="4" t="n">
        <v>1250</v>
      </c>
      <c r="E282" s="5" t="n">
        <v>46260</v>
      </c>
      <c r="F282" s="5" t="n">
        <v>46281</v>
      </c>
      <c r="G282">
        <f>MAX(1,F282-E282)</f>
        <v/>
      </c>
      <c r="H282" s="4">
        <f>D282*G282</f>
        <v/>
      </c>
      <c r="I282">
        <f>IF(TODAY()&lt;E282,"À venir",IF(TODAY()&lt;F282,"En cours","Terminée"))</f>
        <v/>
      </c>
      <c r="J282" t="inlineStr">
        <is>
          <t>WhatsApp</t>
        </is>
      </c>
      <c r="K282" t="inlineStr">
        <is>
          <t>Terminée</t>
        </is>
      </c>
    </row>
    <row r="283">
      <c r="A283" t="inlineStr">
        <is>
          <t>L-00282</t>
        </is>
      </c>
      <c r="B283" t="inlineStr">
        <is>
          <t>85684-A-1</t>
        </is>
      </c>
      <c r="C283" t="inlineStr">
        <is>
          <t>G1943814</t>
        </is>
      </c>
      <c r="D283" s="4" t="n">
        <v>270</v>
      </c>
      <c r="E283" s="5" t="n">
        <v>46260</v>
      </c>
      <c r="F283" s="5" t="n">
        <v>46263</v>
      </c>
      <c r="G283">
        <f>MAX(1,F283-E283)</f>
        <v/>
      </c>
      <c r="H283" s="4">
        <f>D283*G283</f>
        <v/>
      </c>
      <c r="I283">
        <f>IF(TODAY()&lt;E283,"À venir",IF(TODAY()&lt;F283,"En cours","Terminée"))</f>
        <v/>
      </c>
      <c r="J283" t="inlineStr">
        <is>
          <t>Facebook</t>
        </is>
      </c>
      <c r="K283" t="inlineStr">
        <is>
          <t>Terminée</t>
        </is>
      </c>
    </row>
    <row r="284">
      <c r="A284" t="inlineStr">
        <is>
          <t>L-00283</t>
        </is>
      </c>
      <c r="B284" t="inlineStr">
        <is>
          <t>21066-H-1</t>
        </is>
      </c>
      <c r="C284" t="inlineStr">
        <is>
          <t>CD649429</t>
        </is>
      </c>
      <c r="D284" s="4" t="n">
        <v>600</v>
      </c>
      <c r="E284" s="5" t="n">
        <v>46261</v>
      </c>
      <c r="F284" s="5" t="n">
        <v>46268</v>
      </c>
      <c r="G284">
        <f>MAX(1,F284-E284)</f>
        <v/>
      </c>
      <c r="H284" s="4">
        <f>D284*G284</f>
        <v/>
      </c>
      <c r="I284">
        <f>IF(TODAY()&lt;E284,"À venir",IF(TODAY()&lt;F284,"En cours","Terminée"))</f>
        <v/>
      </c>
      <c r="J284" t="inlineStr">
        <is>
          <t>Téléphone</t>
        </is>
      </c>
      <c r="K284" t="inlineStr">
        <is>
          <t>Terminée</t>
        </is>
      </c>
    </row>
    <row r="285">
      <c r="A285" t="inlineStr">
        <is>
          <t>L-00284</t>
        </is>
      </c>
      <c r="B285" t="inlineStr">
        <is>
          <t>22080-H-1</t>
        </is>
      </c>
      <c r="C285" t="inlineStr">
        <is>
          <t>YA5163351</t>
        </is>
      </c>
      <c r="D285" s="4" t="n">
        <v>380</v>
      </c>
      <c r="E285" s="5" t="n">
        <v>46261</v>
      </c>
      <c r="F285" s="5" t="n">
        <v>46265</v>
      </c>
      <c r="G285">
        <f>MAX(1,F285-E285)</f>
        <v/>
      </c>
      <c r="H285" s="4">
        <f>D285*G285</f>
        <v/>
      </c>
      <c r="I285">
        <f>IF(TODAY()&lt;E285,"À venir",IF(TODAY()&lt;F285,"En cours","Terminée"))</f>
        <v/>
      </c>
      <c r="J285" t="inlineStr">
        <is>
          <t>Facebook</t>
        </is>
      </c>
      <c r="K285" t="inlineStr">
        <is>
          <t>Terminée</t>
        </is>
      </c>
    </row>
    <row r="286">
      <c r="A286" t="inlineStr">
        <is>
          <t>L-00285</t>
        </is>
      </c>
      <c r="B286" t="inlineStr">
        <is>
          <t>49965-H-1</t>
        </is>
      </c>
      <c r="C286" t="inlineStr">
        <is>
          <t>AE428361</t>
        </is>
      </c>
      <c r="D286" s="4" t="n">
        <v>1130</v>
      </c>
      <c r="E286" s="5" t="n">
        <v>46261</v>
      </c>
      <c r="F286" s="5" t="n">
        <v>46271</v>
      </c>
      <c r="G286">
        <f>MAX(1,F286-E286)</f>
        <v/>
      </c>
      <c r="H286" s="4">
        <f>D286*G286</f>
        <v/>
      </c>
      <c r="I286">
        <f>IF(TODAY()&lt;E286,"À venir",IF(TODAY()&lt;F286,"En cours","Terminée"))</f>
        <v/>
      </c>
      <c r="J286" t="inlineStr">
        <is>
          <t>WhatsApp</t>
        </is>
      </c>
      <c r="K286" t="inlineStr">
        <is>
          <t>Terminée</t>
        </is>
      </c>
    </row>
    <row r="287">
      <c r="A287" t="inlineStr">
        <is>
          <t>L-00286</t>
        </is>
      </c>
      <c r="B287" t="inlineStr">
        <is>
          <t>74343-B-1</t>
        </is>
      </c>
      <c r="C287" t="inlineStr">
        <is>
          <t>G1943814</t>
        </is>
      </c>
      <c r="D287" s="4" t="n">
        <v>290</v>
      </c>
      <c r="E287" s="5" t="n">
        <v>46261</v>
      </c>
      <c r="F287" s="5" t="n">
        <v>46264</v>
      </c>
      <c r="G287">
        <f>MAX(1,F287-E287)</f>
        <v/>
      </c>
      <c r="H287" s="4">
        <f>D287*G287</f>
        <v/>
      </c>
      <c r="I287">
        <f>IF(TODAY()&lt;E287,"À venir",IF(TODAY()&lt;F287,"En cours","Terminée"))</f>
        <v/>
      </c>
      <c r="J287" t="inlineStr">
        <is>
          <t>Booking.com</t>
        </is>
      </c>
      <c r="K287" t="inlineStr">
        <is>
          <t>Terminée</t>
        </is>
      </c>
    </row>
    <row r="288">
      <c r="A288" t="inlineStr">
        <is>
          <t>L-00287</t>
        </is>
      </c>
      <c r="B288" t="inlineStr">
        <is>
          <t>76897-B-1</t>
        </is>
      </c>
      <c r="C288" t="inlineStr">
        <is>
          <t>AA562561</t>
        </is>
      </c>
      <c r="D288" s="4" t="n">
        <v>620</v>
      </c>
      <c r="E288" s="5" t="n">
        <v>46261</v>
      </c>
      <c r="F288" s="5" t="n">
        <v>46268</v>
      </c>
      <c r="G288">
        <f>MAX(1,F288-E288)</f>
        <v/>
      </c>
      <c r="H288" s="4">
        <f>D288*G288</f>
        <v/>
      </c>
      <c r="I288">
        <f>IF(TODAY()&lt;E288,"À venir",IF(TODAY()&lt;F288,"En cours","Terminée"))</f>
        <v/>
      </c>
      <c r="J288" t="inlineStr">
        <is>
          <t>Téléphone</t>
        </is>
      </c>
      <c r="K288" t="inlineStr">
        <is>
          <t>Terminée</t>
        </is>
      </c>
    </row>
    <row r="289">
      <c r="A289" t="inlineStr">
        <is>
          <t>L-00288</t>
        </is>
      </c>
      <c r="B289" t="inlineStr">
        <is>
          <t>85272-B-1</t>
        </is>
      </c>
      <c r="C289" t="inlineStr">
        <is>
          <t>EE317790</t>
        </is>
      </c>
      <c r="D289" s="4" t="n">
        <v>600</v>
      </c>
      <c r="E289" s="5" t="n">
        <v>46261</v>
      </c>
      <c r="F289" s="5" t="n">
        <v>46266</v>
      </c>
      <c r="G289">
        <f>MAX(1,F289-E289)</f>
        <v/>
      </c>
      <c r="H289" s="4">
        <f>D289*G289</f>
        <v/>
      </c>
      <c r="I289">
        <f>IF(TODAY()&lt;E289,"À venir",IF(TODAY()&lt;F289,"En cours","Terminée"))</f>
        <v/>
      </c>
      <c r="J289" t="inlineStr">
        <is>
          <t>WhatsApp</t>
        </is>
      </c>
      <c r="K289" t="inlineStr">
        <is>
          <t>Terminée</t>
        </is>
      </c>
    </row>
    <row r="290">
      <c r="A290" t="inlineStr">
        <is>
          <t>L-00289</t>
        </is>
      </c>
      <c r="B290" t="inlineStr">
        <is>
          <t>88664-D-1</t>
        </is>
      </c>
      <c r="C290" t="inlineStr">
        <is>
          <t>CD582558</t>
        </is>
      </c>
      <c r="D290" s="4" t="n">
        <v>350</v>
      </c>
      <c r="E290" s="5" t="n">
        <v>46261</v>
      </c>
      <c r="F290" s="5" t="n">
        <v>46282</v>
      </c>
      <c r="G290">
        <f>MAX(1,F290-E290)</f>
        <v/>
      </c>
      <c r="H290" s="4">
        <f>D290*G290</f>
        <v/>
      </c>
      <c r="I290">
        <f>IF(TODAY()&lt;E290,"À venir",IF(TODAY()&lt;F290,"En cours","Terminée"))</f>
        <v/>
      </c>
      <c r="J290" t="inlineStr">
        <is>
          <t>Comptoir</t>
        </is>
      </c>
      <c r="K290" t="inlineStr">
        <is>
          <t>Terminée</t>
        </is>
      </c>
    </row>
    <row r="291">
      <c r="A291" t="inlineStr">
        <is>
          <t>L-00290</t>
        </is>
      </c>
      <c r="B291" t="inlineStr">
        <is>
          <t>91702-H-1</t>
        </is>
      </c>
      <c r="C291" t="inlineStr">
        <is>
          <t>CD582558</t>
        </is>
      </c>
      <c r="D291" s="4" t="n">
        <v>980</v>
      </c>
      <c r="E291" s="5" t="n">
        <v>46261</v>
      </c>
      <c r="F291" s="5" t="n">
        <v>46271</v>
      </c>
      <c r="G291">
        <f>MAX(1,F291-E291)</f>
        <v/>
      </c>
      <c r="H291" s="4">
        <f>D291*G291</f>
        <v/>
      </c>
      <c r="I291">
        <f>IF(TODAY()&lt;E291,"À venir",IF(TODAY()&lt;F291,"En cours","Terminée"))</f>
        <v/>
      </c>
      <c r="J291" t="inlineStr">
        <is>
          <t>WhatsApp</t>
        </is>
      </c>
      <c r="K291" t="inlineStr">
        <is>
          <t>Terminée</t>
        </is>
      </c>
    </row>
    <row r="292">
      <c r="A292" t="inlineStr">
        <is>
          <t>L-00291</t>
        </is>
      </c>
      <c r="B292" t="inlineStr">
        <is>
          <t>97618-A-1</t>
        </is>
      </c>
      <c r="C292" t="inlineStr">
        <is>
          <t>BE738077</t>
        </is>
      </c>
      <c r="D292" s="4" t="n">
        <v>540</v>
      </c>
      <c r="E292" s="5" t="n">
        <v>46261</v>
      </c>
      <c r="F292" s="5" t="n">
        <v>46264</v>
      </c>
      <c r="G292">
        <f>MAX(1,F292-E292)</f>
        <v/>
      </c>
      <c r="H292" s="4">
        <f>D292*G292</f>
        <v/>
      </c>
      <c r="I292">
        <f>IF(TODAY()&lt;E292,"À venir",IF(TODAY()&lt;F292,"En cours","Terminée"))</f>
        <v/>
      </c>
      <c r="J292" t="inlineStr">
        <is>
          <t>Site web</t>
        </is>
      </c>
      <c r="K292" t="inlineStr">
        <is>
          <t>Terminée</t>
        </is>
      </c>
    </row>
    <row r="293">
      <c r="A293" t="inlineStr">
        <is>
          <t>L-00292</t>
        </is>
      </c>
      <c r="B293" t="inlineStr">
        <is>
          <t>33992-B-1</t>
        </is>
      </c>
      <c r="C293" t="inlineStr">
        <is>
          <t>G4621259</t>
        </is>
      </c>
      <c r="D293" s="4" t="n">
        <v>530</v>
      </c>
      <c r="E293" s="5" t="n">
        <v>46262</v>
      </c>
      <c r="F293" s="5" t="n">
        <v>46265</v>
      </c>
      <c r="G293">
        <f>MAX(1,F293-E293)</f>
        <v/>
      </c>
      <c r="H293" s="4">
        <f>D293*G293</f>
        <v/>
      </c>
      <c r="I293">
        <f>IF(TODAY()&lt;E293,"À venir",IF(TODAY()&lt;F293,"En cours","Terminée"))</f>
        <v/>
      </c>
      <c r="J293" t="inlineStr">
        <is>
          <t>Facebook</t>
        </is>
      </c>
      <c r="K293" t="inlineStr">
        <is>
          <t>Terminée</t>
        </is>
      </c>
    </row>
    <row r="294">
      <c r="A294" t="inlineStr">
        <is>
          <t>L-00293</t>
        </is>
      </c>
      <c r="B294" t="inlineStr">
        <is>
          <t>62268-B-1</t>
        </is>
      </c>
      <c r="C294" t="inlineStr">
        <is>
          <t>CD516136</t>
        </is>
      </c>
      <c r="D294" s="4" t="n">
        <v>320</v>
      </c>
      <c r="E294" s="5" t="n">
        <v>46262</v>
      </c>
      <c r="F294" s="5" t="n">
        <v>46283</v>
      </c>
      <c r="G294">
        <f>MAX(1,F294-E294)</f>
        <v/>
      </c>
      <c r="H294" s="4">
        <f>D294*G294</f>
        <v/>
      </c>
      <c r="I294">
        <f>IF(TODAY()&lt;E294,"À venir",IF(TODAY()&lt;F294,"En cours","Terminée"))</f>
        <v/>
      </c>
      <c r="J294" t="inlineStr">
        <is>
          <t>Instagram</t>
        </is>
      </c>
      <c r="K294" t="inlineStr">
        <is>
          <t>Terminée</t>
        </is>
      </c>
    </row>
    <row r="295">
      <c r="A295" t="inlineStr">
        <is>
          <t>L-00294</t>
        </is>
      </c>
      <c r="B295" t="inlineStr">
        <is>
          <t>75329-D-1</t>
        </is>
      </c>
      <c r="C295" t="inlineStr">
        <is>
          <t>A4111929</t>
        </is>
      </c>
      <c r="D295" s="4" t="n">
        <v>560</v>
      </c>
      <c r="E295" s="5" t="n">
        <v>46262</v>
      </c>
      <c r="F295" s="5" t="n">
        <v>46269</v>
      </c>
      <c r="G295">
        <f>MAX(1,F295-E295)</f>
        <v/>
      </c>
      <c r="H295" s="4">
        <f>D295*G295</f>
        <v/>
      </c>
      <c r="I295">
        <f>IF(TODAY()&lt;E295,"À venir",IF(TODAY()&lt;F295,"En cours","Terminée"))</f>
        <v/>
      </c>
      <c r="J295" t="inlineStr">
        <is>
          <t>WhatsApp</t>
        </is>
      </c>
      <c r="K295" t="inlineStr">
        <is>
          <t>Terminée</t>
        </is>
      </c>
    </row>
    <row r="296">
      <c r="A296" t="inlineStr">
        <is>
          <t>L-00295</t>
        </is>
      </c>
      <c r="B296" t="inlineStr">
        <is>
          <t>81442-B-1</t>
        </is>
      </c>
      <c r="C296" t="inlineStr">
        <is>
          <t>AA411366</t>
        </is>
      </c>
      <c r="D296" s="4" t="n">
        <v>520</v>
      </c>
      <c r="E296" s="5" t="n">
        <v>46262</v>
      </c>
      <c r="F296" s="5" t="n">
        <v>46265</v>
      </c>
      <c r="G296">
        <f>MAX(1,F296-E296)</f>
        <v/>
      </c>
      <c r="H296" s="4">
        <f>D296*G296</f>
        <v/>
      </c>
      <c r="I296">
        <f>IF(TODAY()&lt;E296,"À venir",IF(TODAY()&lt;F296,"En cours","Terminée"))</f>
        <v/>
      </c>
      <c r="J296" t="inlineStr">
        <is>
          <t>WhatsApp</t>
        </is>
      </c>
      <c r="K296" t="inlineStr">
        <is>
          <t>Terminée</t>
        </is>
      </c>
    </row>
    <row r="297">
      <c r="A297" t="inlineStr">
        <is>
          <t>L-00296</t>
        </is>
      </c>
      <c r="B297" t="inlineStr">
        <is>
          <t>35623-W-1</t>
        </is>
      </c>
      <c r="C297" t="inlineStr">
        <is>
          <t>CD243862</t>
        </is>
      </c>
      <c r="D297" s="4" t="n">
        <v>1510</v>
      </c>
      <c r="E297" s="5" t="n">
        <v>46263</v>
      </c>
      <c r="F297" s="5" t="n">
        <v>46268</v>
      </c>
      <c r="G297">
        <f>MAX(1,F297-E297)</f>
        <v/>
      </c>
      <c r="H297" s="4">
        <f>D297*G297</f>
        <v/>
      </c>
      <c r="I297">
        <f>IF(TODAY()&lt;E297,"À venir",IF(TODAY()&lt;F297,"En cours","Terminée"))</f>
        <v/>
      </c>
      <c r="J297" t="inlineStr">
        <is>
          <t>Comptoir</t>
        </is>
      </c>
      <c r="K297" t="inlineStr">
        <is>
          <t>Terminée</t>
        </is>
      </c>
    </row>
    <row r="298">
      <c r="A298" t="inlineStr">
        <is>
          <t>L-00297</t>
        </is>
      </c>
      <c r="B298" t="inlineStr">
        <is>
          <t>71994-D-1</t>
        </is>
      </c>
      <c r="C298" t="inlineStr">
        <is>
          <t>PA5242299</t>
        </is>
      </c>
      <c r="D298" s="4" t="n">
        <v>660</v>
      </c>
      <c r="E298" s="5" t="n">
        <v>46263</v>
      </c>
      <c r="F298" s="5" t="n">
        <v>46270</v>
      </c>
      <c r="G298">
        <f>MAX(1,F298-E298)</f>
        <v/>
      </c>
      <c r="H298" s="4">
        <f>D298*G298</f>
        <v/>
      </c>
      <c r="I298">
        <f>IF(TODAY()&lt;E298,"À venir",IF(TODAY()&lt;F298,"En cours","Terminée"))</f>
        <v/>
      </c>
      <c r="J298" t="inlineStr">
        <is>
          <t>Comptoir</t>
        </is>
      </c>
      <c r="K298" t="inlineStr">
        <is>
          <t>Terminée</t>
        </is>
      </c>
    </row>
    <row r="299">
      <c r="A299" t="inlineStr">
        <is>
          <t>L-00298</t>
        </is>
      </c>
      <c r="B299" t="inlineStr">
        <is>
          <t>84923-D-1</t>
        </is>
      </c>
      <c r="C299" t="inlineStr">
        <is>
          <t>XK9750596</t>
        </is>
      </c>
      <c r="D299" s="4" t="n">
        <v>780</v>
      </c>
      <c r="E299" s="5" t="n">
        <v>46263</v>
      </c>
      <c r="F299" s="5" t="n">
        <v>46268</v>
      </c>
      <c r="G299">
        <f>MAX(1,F299-E299)</f>
        <v/>
      </c>
      <c r="H299" s="4">
        <f>D299*G299</f>
        <v/>
      </c>
      <c r="I299">
        <f>IF(TODAY()&lt;E299,"À venir",IF(TODAY()&lt;F299,"En cours","Terminée"))</f>
        <v/>
      </c>
      <c r="J299" t="inlineStr">
        <is>
          <t>Instagram</t>
        </is>
      </c>
      <c r="K299" t="inlineStr">
        <is>
          <t>Terminée</t>
        </is>
      </c>
    </row>
    <row r="300">
      <c r="A300" t="inlineStr">
        <is>
          <t>L-00299</t>
        </is>
      </c>
      <c r="B300" t="inlineStr">
        <is>
          <t>85684-A-1</t>
        </is>
      </c>
      <c r="C300" t="inlineStr">
        <is>
          <t>AE279704</t>
        </is>
      </c>
      <c r="D300" s="4" t="n">
        <v>250</v>
      </c>
      <c r="E300" s="5" t="n">
        <v>46264</v>
      </c>
      <c r="F300" s="5" t="n">
        <v>46278</v>
      </c>
      <c r="G300">
        <f>MAX(1,F300-E300)</f>
        <v/>
      </c>
      <c r="H300" s="4">
        <f>D300*G300</f>
        <v/>
      </c>
      <c r="I300">
        <f>IF(TODAY()&lt;E300,"À venir",IF(TODAY()&lt;F300,"En cours","Terminée"))</f>
        <v/>
      </c>
      <c r="J300" t="inlineStr">
        <is>
          <t>WhatsApp</t>
        </is>
      </c>
      <c r="K300" t="inlineStr">
        <is>
          <t>Terminée</t>
        </is>
      </c>
    </row>
    <row r="301">
      <c r="A301" t="inlineStr">
        <is>
          <t>L-00300</t>
        </is>
      </c>
      <c r="B301" t="inlineStr">
        <is>
          <t>36193-W-1</t>
        </is>
      </c>
      <c r="C301" t="inlineStr">
        <is>
          <t>CD931756</t>
        </is>
      </c>
      <c r="D301" s="4" t="n">
        <v>520</v>
      </c>
      <c r="E301" s="5" t="n">
        <v>46265</v>
      </c>
      <c r="F301" s="5" t="n">
        <v>46267</v>
      </c>
      <c r="G301">
        <f>MAX(1,F301-E301)</f>
        <v/>
      </c>
      <c r="H301" s="4">
        <f>D301*G301</f>
        <v/>
      </c>
      <c r="I301">
        <f>IF(TODAY()&lt;E301,"À venir",IF(TODAY()&lt;F301,"En cours","Terminée"))</f>
        <v/>
      </c>
      <c r="J301" t="inlineStr">
        <is>
          <t>Instagram</t>
        </is>
      </c>
      <c r="K301" t="inlineStr">
        <is>
          <t>Terminée</t>
        </is>
      </c>
    </row>
    <row r="302">
      <c r="A302" t="inlineStr">
        <is>
          <t>L-00301</t>
        </is>
      </c>
      <c r="B302" t="inlineStr">
        <is>
          <t>47649-D-1</t>
        </is>
      </c>
      <c r="C302" t="inlineStr">
        <is>
          <t>YA1476776</t>
        </is>
      </c>
      <c r="D302" s="4" t="n">
        <v>320</v>
      </c>
      <c r="E302" s="5" t="n">
        <v>46265</v>
      </c>
      <c r="F302" s="5" t="n">
        <v>46267</v>
      </c>
      <c r="G302">
        <f>MAX(1,F302-E302)</f>
        <v/>
      </c>
      <c r="H302" s="4">
        <f>D302*G302</f>
        <v/>
      </c>
      <c r="I302">
        <f>IF(TODAY()&lt;E302,"À venir",IF(TODAY()&lt;F302,"En cours","Terminée"))</f>
        <v/>
      </c>
      <c r="J302" t="inlineStr">
        <is>
          <t>WhatsApp</t>
        </is>
      </c>
      <c r="K302" t="inlineStr">
        <is>
          <t>Terminée</t>
        </is>
      </c>
    </row>
    <row r="303">
      <c r="A303" t="inlineStr">
        <is>
          <t>L-00302</t>
        </is>
      </c>
      <c r="B303" t="inlineStr">
        <is>
          <t>74343-B-1</t>
        </is>
      </c>
      <c r="C303" t="inlineStr">
        <is>
          <t>BK346421</t>
        </is>
      </c>
      <c r="D303" s="4" t="n">
        <v>300</v>
      </c>
      <c r="E303" s="5" t="n">
        <v>46265</v>
      </c>
      <c r="F303" s="5" t="n">
        <v>46270</v>
      </c>
      <c r="G303">
        <f>MAX(1,F303-E303)</f>
        <v/>
      </c>
      <c r="H303" s="4">
        <f>D303*G303</f>
        <v/>
      </c>
      <c r="I303">
        <f>IF(TODAY()&lt;E303,"À venir",IF(TODAY()&lt;F303,"En cours","Terminée"))</f>
        <v/>
      </c>
      <c r="J303" t="inlineStr">
        <is>
          <t>Site web</t>
        </is>
      </c>
      <c r="K303" t="inlineStr">
        <is>
          <t>Terminée</t>
        </is>
      </c>
    </row>
    <row r="304">
      <c r="A304" t="inlineStr">
        <is>
          <t>L-00303</t>
        </is>
      </c>
      <c r="B304" t="inlineStr">
        <is>
          <t>91567-W-1</t>
        </is>
      </c>
      <c r="C304" t="inlineStr">
        <is>
          <t>AA848437</t>
        </is>
      </c>
      <c r="D304" s="4" t="n">
        <v>230</v>
      </c>
      <c r="E304" s="5" t="n">
        <v>46265</v>
      </c>
      <c r="F304" s="5" t="n">
        <v>46286</v>
      </c>
      <c r="G304">
        <f>MAX(1,F304-E304)</f>
        <v/>
      </c>
      <c r="H304" s="4">
        <f>D304*G304</f>
        <v/>
      </c>
      <c r="I304">
        <f>IF(TODAY()&lt;E304,"À venir",IF(TODAY()&lt;F304,"En cours","Terminée"))</f>
        <v/>
      </c>
      <c r="J304" t="inlineStr">
        <is>
          <t>WhatsApp</t>
        </is>
      </c>
      <c r="K304" t="inlineStr">
        <is>
          <t>Terminée</t>
        </is>
      </c>
    </row>
    <row r="305">
      <c r="A305" t="inlineStr">
        <is>
          <t>L-00304</t>
        </is>
      </c>
      <c r="B305" t="inlineStr">
        <is>
          <t>97618-A-1</t>
        </is>
      </c>
      <c r="C305" t="inlineStr">
        <is>
          <t>AB352833</t>
        </is>
      </c>
      <c r="D305" s="4" t="n">
        <v>490</v>
      </c>
      <c r="E305" s="5" t="n">
        <v>46265</v>
      </c>
      <c r="F305" s="5" t="n">
        <v>46272</v>
      </c>
      <c r="G305">
        <f>MAX(1,F305-E305)</f>
        <v/>
      </c>
      <c r="H305" s="4">
        <f>D305*G305</f>
        <v/>
      </c>
      <c r="I305">
        <f>IF(TODAY()&lt;E305,"À venir",IF(TODAY()&lt;F305,"En cours","Terminée"))</f>
        <v/>
      </c>
      <c r="J305" t="inlineStr">
        <is>
          <t>Booking.com</t>
        </is>
      </c>
      <c r="K305" t="inlineStr">
        <is>
          <t>Terminée</t>
        </is>
      </c>
    </row>
    <row r="306">
      <c r="A306" t="inlineStr">
        <is>
          <t>L-00305</t>
        </is>
      </c>
      <c r="B306" t="inlineStr">
        <is>
          <t>22080-H-1</t>
        </is>
      </c>
      <c r="C306" t="inlineStr">
        <is>
          <t>DA819171</t>
        </is>
      </c>
      <c r="D306" s="4" t="n">
        <v>300</v>
      </c>
      <c r="E306" s="5" t="n">
        <v>46266</v>
      </c>
      <c r="F306" s="5" t="n">
        <v>46273</v>
      </c>
      <c r="G306">
        <f>MAX(1,F306-E306)</f>
        <v/>
      </c>
      <c r="H306" s="4">
        <f>D306*G306</f>
        <v/>
      </c>
      <c r="I306">
        <f>IF(TODAY()&lt;E306,"À venir",IF(TODAY()&lt;F306,"En cours","Terminée"))</f>
        <v/>
      </c>
      <c r="J306" t="inlineStr">
        <is>
          <t>Téléphone</t>
        </is>
      </c>
      <c r="K306" t="inlineStr">
        <is>
          <t>Terminée</t>
        </is>
      </c>
    </row>
    <row r="307">
      <c r="A307" t="inlineStr">
        <is>
          <t>L-00306</t>
        </is>
      </c>
      <c r="B307" t="inlineStr">
        <is>
          <t>25835-W-1</t>
        </is>
      </c>
      <c r="C307" t="inlineStr">
        <is>
          <t>BE992685</t>
        </is>
      </c>
      <c r="D307" s="4" t="n">
        <v>520</v>
      </c>
      <c r="E307" s="5" t="n">
        <v>46266</v>
      </c>
      <c r="F307" s="5" t="n">
        <v>46267</v>
      </c>
      <c r="G307">
        <f>MAX(1,F307-E307)</f>
        <v/>
      </c>
      <c r="H307" s="4">
        <f>D307*G307</f>
        <v/>
      </c>
      <c r="I307">
        <f>IF(TODAY()&lt;E307,"À venir",IF(TODAY()&lt;F307,"En cours","Terminée"))</f>
        <v/>
      </c>
      <c r="J307" t="inlineStr">
        <is>
          <t>Booking.com</t>
        </is>
      </c>
      <c r="K307" t="inlineStr">
        <is>
          <t>Terminée</t>
        </is>
      </c>
    </row>
    <row r="308">
      <c r="A308" t="inlineStr">
        <is>
          <t>L-00307</t>
        </is>
      </c>
      <c r="B308" t="inlineStr">
        <is>
          <t>54616-W-1</t>
        </is>
      </c>
      <c r="C308" t="inlineStr">
        <is>
          <t>G8781893</t>
        </is>
      </c>
      <c r="D308" s="4" t="n">
        <v>190</v>
      </c>
      <c r="E308" s="5" t="n">
        <v>46266</v>
      </c>
      <c r="F308" s="5" t="n">
        <v>46271</v>
      </c>
      <c r="G308">
        <f>MAX(1,F308-E308)</f>
        <v/>
      </c>
      <c r="H308" s="4">
        <f>D308*G308</f>
        <v/>
      </c>
      <c r="I308">
        <f>IF(TODAY()&lt;E308,"À venir",IF(TODAY()&lt;F308,"En cours","Terminée"))</f>
        <v/>
      </c>
      <c r="J308" t="inlineStr">
        <is>
          <t>WhatsApp</t>
        </is>
      </c>
      <c r="K308" t="inlineStr">
        <is>
          <t>Terminée</t>
        </is>
      </c>
    </row>
    <row r="309">
      <c r="A309" t="inlineStr">
        <is>
          <t>L-00308</t>
        </is>
      </c>
      <c r="B309" t="inlineStr">
        <is>
          <t>71302-W-1</t>
        </is>
      </c>
      <c r="C309" t="inlineStr">
        <is>
          <t>DA563230</t>
        </is>
      </c>
      <c r="D309" s="4" t="n">
        <v>380</v>
      </c>
      <c r="E309" s="5" t="n">
        <v>46266</v>
      </c>
      <c r="F309" s="5" t="n">
        <v>46268</v>
      </c>
      <c r="G309">
        <f>MAX(1,F309-E309)</f>
        <v/>
      </c>
      <c r="H309" s="4">
        <f>D309*G309</f>
        <v/>
      </c>
      <c r="I309">
        <f>IF(TODAY()&lt;E309,"À venir",IF(TODAY()&lt;F309,"En cours","Terminée"))</f>
        <v/>
      </c>
      <c r="J309" t="inlineStr">
        <is>
          <t>Site web</t>
        </is>
      </c>
      <c r="K309" t="inlineStr">
        <is>
          <t>Terminée</t>
        </is>
      </c>
    </row>
    <row r="310">
      <c r="A310" t="inlineStr">
        <is>
          <t>L-00309</t>
        </is>
      </c>
      <c r="B310" t="inlineStr">
        <is>
          <t>77893-H-1</t>
        </is>
      </c>
      <c r="C310" t="inlineStr">
        <is>
          <t>G5212575</t>
        </is>
      </c>
      <c r="D310" s="4" t="n">
        <v>280</v>
      </c>
      <c r="E310" s="5" t="n">
        <v>46267</v>
      </c>
      <c r="F310" s="5" t="n">
        <v>46268</v>
      </c>
      <c r="G310">
        <f>MAX(1,F310-E310)</f>
        <v/>
      </c>
      <c r="H310" s="4">
        <f>D310*G310</f>
        <v/>
      </c>
      <c r="I310">
        <f>IF(TODAY()&lt;E310,"À venir",IF(TODAY()&lt;F310,"En cours","Terminée"))</f>
        <v/>
      </c>
      <c r="J310" t="inlineStr">
        <is>
          <t>Téléphone</t>
        </is>
      </c>
      <c r="K310" t="inlineStr">
        <is>
          <t>Terminée</t>
        </is>
      </c>
    </row>
    <row r="311">
      <c r="A311" t="inlineStr">
        <is>
          <t>L-00310</t>
        </is>
      </c>
      <c r="B311" t="inlineStr">
        <is>
          <t>85272-B-1</t>
        </is>
      </c>
      <c r="C311" t="inlineStr">
        <is>
          <t>DA400926</t>
        </is>
      </c>
      <c r="D311" s="4" t="n">
        <v>490</v>
      </c>
      <c r="E311" s="5" t="n">
        <v>46267</v>
      </c>
      <c r="F311" s="5" t="n">
        <v>46270</v>
      </c>
      <c r="G311">
        <f>MAX(1,F311-E311)</f>
        <v/>
      </c>
      <c r="H311" s="4">
        <f>D311*G311</f>
        <v/>
      </c>
      <c r="I311">
        <f>IF(TODAY()&lt;E311,"À venir",IF(TODAY()&lt;F311,"En cours","Terminée"))</f>
        <v/>
      </c>
      <c r="J311" t="inlineStr">
        <is>
          <t>Booking.com</t>
        </is>
      </c>
      <c r="K311" t="inlineStr">
        <is>
          <t>Terminée</t>
        </is>
      </c>
    </row>
    <row r="312">
      <c r="A312" t="inlineStr">
        <is>
          <t>L-00311</t>
        </is>
      </c>
      <c r="B312" t="inlineStr">
        <is>
          <t>94626-B-1</t>
        </is>
      </c>
      <c r="C312" t="inlineStr">
        <is>
          <t>AD835232</t>
        </is>
      </c>
      <c r="D312" s="4" t="n">
        <v>960</v>
      </c>
      <c r="E312" s="5" t="n">
        <v>46267</v>
      </c>
      <c r="F312" s="5" t="n">
        <v>46269</v>
      </c>
      <c r="G312">
        <f>MAX(1,F312-E312)</f>
        <v/>
      </c>
      <c r="H312" s="4">
        <f>D312*G312</f>
        <v/>
      </c>
      <c r="I312">
        <f>IF(TODAY()&lt;E312,"À venir",IF(TODAY()&lt;F312,"En cours","Terminée"))</f>
        <v/>
      </c>
      <c r="J312" t="inlineStr">
        <is>
          <t>WhatsApp</t>
        </is>
      </c>
      <c r="K312" t="inlineStr">
        <is>
          <t>Terminée</t>
        </is>
      </c>
    </row>
    <row r="313">
      <c r="A313" t="inlineStr">
        <is>
          <t>L-00312</t>
        </is>
      </c>
      <c r="B313" t="inlineStr">
        <is>
          <t>25835-W-1</t>
        </is>
      </c>
      <c r="C313" t="inlineStr">
        <is>
          <t>G8958792</t>
        </is>
      </c>
      <c r="D313" s="4" t="n">
        <v>510</v>
      </c>
      <c r="E313" s="5" t="n">
        <v>46268</v>
      </c>
      <c r="F313" s="5" t="n">
        <v>46270</v>
      </c>
      <c r="G313">
        <f>MAX(1,F313-E313)</f>
        <v/>
      </c>
      <c r="H313" s="4">
        <f>D313*G313</f>
        <v/>
      </c>
      <c r="I313">
        <f>IF(TODAY()&lt;E313,"À venir",IF(TODAY()&lt;F313,"En cours","Terminée"))</f>
        <v/>
      </c>
      <c r="J313" t="inlineStr">
        <is>
          <t>WhatsApp</t>
        </is>
      </c>
      <c r="K313" t="inlineStr">
        <is>
          <t>Terminée</t>
        </is>
      </c>
    </row>
    <row r="314">
      <c r="A314" t="inlineStr">
        <is>
          <t>L-00313</t>
        </is>
      </c>
      <c r="B314" t="inlineStr">
        <is>
          <t>62064-H-1</t>
        </is>
      </c>
      <c r="C314" t="inlineStr">
        <is>
          <t>IT1637716</t>
        </is>
      </c>
      <c r="D314" s="4" t="n">
        <v>300</v>
      </c>
      <c r="E314" s="5" t="n">
        <v>46268</v>
      </c>
      <c r="F314" s="5" t="n">
        <v>46269</v>
      </c>
      <c r="G314">
        <f>MAX(1,F314-E314)</f>
        <v/>
      </c>
      <c r="H314" s="4">
        <f>D314*G314</f>
        <v/>
      </c>
      <c r="I314">
        <f>IF(TODAY()&lt;E314,"À venir",IF(TODAY()&lt;F314,"En cours","Terminée"))</f>
        <v/>
      </c>
      <c r="J314" t="inlineStr">
        <is>
          <t>WhatsApp</t>
        </is>
      </c>
      <c r="K314" t="inlineStr">
        <is>
          <t>Terminée</t>
        </is>
      </c>
    </row>
    <row r="315">
      <c r="A315" t="inlineStr">
        <is>
          <t>L-00314</t>
        </is>
      </c>
      <c r="B315" t="inlineStr">
        <is>
          <t>81442-B-1</t>
        </is>
      </c>
      <c r="C315" t="inlineStr">
        <is>
          <t>AA411366</t>
        </is>
      </c>
      <c r="D315" s="4" t="n">
        <v>420</v>
      </c>
      <c r="E315" s="5" t="n">
        <v>46268</v>
      </c>
      <c r="F315" s="5" t="n">
        <v>46272</v>
      </c>
      <c r="G315">
        <f>MAX(1,F315-E315)</f>
        <v/>
      </c>
      <c r="H315" s="4">
        <f>D315*G315</f>
        <v/>
      </c>
      <c r="I315">
        <f>IF(TODAY()&lt;E315,"À venir",IF(TODAY()&lt;F315,"En cours","Terminée"))</f>
        <v/>
      </c>
      <c r="J315" t="inlineStr">
        <is>
          <t>Site web</t>
        </is>
      </c>
      <c r="K315" t="inlineStr">
        <is>
          <t>Terminée</t>
        </is>
      </c>
    </row>
    <row r="316">
      <c r="A316" t="inlineStr">
        <is>
          <t>L-00315</t>
        </is>
      </c>
      <c r="B316" t="inlineStr">
        <is>
          <t>97018-A-1</t>
        </is>
      </c>
      <c r="C316" t="inlineStr">
        <is>
          <t>AA681603</t>
        </is>
      </c>
      <c r="D316" s="4" t="n">
        <v>380</v>
      </c>
      <c r="E316" s="5" t="n">
        <v>46268</v>
      </c>
      <c r="F316" s="5" t="n">
        <v>46271</v>
      </c>
      <c r="G316">
        <f>MAX(1,F316-E316)</f>
        <v/>
      </c>
      <c r="H316" s="4">
        <f>D316*G316</f>
        <v/>
      </c>
      <c r="I316">
        <f>IF(TODAY()&lt;E316,"À venir",IF(TODAY()&lt;F316,"En cours","Terminée"))</f>
        <v/>
      </c>
      <c r="J316" t="inlineStr">
        <is>
          <t>Booking.com</t>
        </is>
      </c>
      <c r="K316" t="inlineStr">
        <is>
          <t>Terminée</t>
        </is>
      </c>
    </row>
    <row r="317">
      <c r="A317" t="inlineStr">
        <is>
          <t>L-00316</t>
        </is>
      </c>
      <c r="B317" t="inlineStr">
        <is>
          <t>72769-D-1</t>
        </is>
      </c>
      <c r="C317" t="inlineStr">
        <is>
          <t>AA866521</t>
        </is>
      </c>
      <c r="D317" s="4" t="n">
        <v>190</v>
      </c>
      <c r="E317" s="5" t="n">
        <v>46269</v>
      </c>
      <c r="F317" s="5" t="n">
        <v>46274</v>
      </c>
      <c r="G317">
        <f>MAX(1,F317-E317)</f>
        <v/>
      </c>
      <c r="H317" s="4">
        <f>D317*G317</f>
        <v/>
      </c>
      <c r="I317">
        <f>IF(TODAY()&lt;E317,"À venir",IF(TODAY()&lt;F317,"En cours","Terminée"))</f>
        <v/>
      </c>
      <c r="J317" t="inlineStr">
        <is>
          <t>WhatsApp</t>
        </is>
      </c>
      <c r="K317" t="inlineStr">
        <is>
          <t>Terminée</t>
        </is>
      </c>
    </row>
    <row r="318">
      <c r="A318" t="inlineStr">
        <is>
          <t>L-00317</t>
        </is>
      </c>
      <c r="B318" t="inlineStr">
        <is>
          <t>77893-H-1</t>
        </is>
      </c>
      <c r="C318" t="inlineStr">
        <is>
          <t>CD232629</t>
        </is>
      </c>
      <c r="D318" s="4" t="n">
        <v>260</v>
      </c>
      <c r="E318" s="5" t="n">
        <v>46269</v>
      </c>
      <c r="F318" s="5" t="n">
        <v>46272</v>
      </c>
      <c r="G318">
        <f>MAX(1,F318-E318)</f>
        <v/>
      </c>
      <c r="H318" s="4">
        <f>D318*G318</f>
        <v/>
      </c>
      <c r="I318">
        <f>IF(TODAY()&lt;E318,"À venir",IF(TODAY()&lt;F318,"En cours","Terminée"))</f>
        <v/>
      </c>
      <c r="J318" t="inlineStr">
        <is>
          <t>WhatsApp</t>
        </is>
      </c>
      <c r="K318" t="inlineStr">
        <is>
          <t>Terminée</t>
        </is>
      </c>
    </row>
    <row r="319">
      <c r="A319" t="inlineStr">
        <is>
          <t>L-00318</t>
        </is>
      </c>
      <c r="B319" t="inlineStr">
        <is>
          <t>84923-D-1</t>
        </is>
      </c>
      <c r="C319" t="inlineStr">
        <is>
          <t>BE164321</t>
        </is>
      </c>
      <c r="D319" s="4" t="n">
        <v>630</v>
      </c>
      <c r="E319" s="5" t="n">
        <v>46269</v>
      </c>
      <c r="F319" s="5" t="n">
        <v>46272</v>
      </c>
      <c r="G319">
        <f>MAX(1,F319-E319)</f>
        <v/>
      </c>
      <c r="H319" s="4">
        <f>D319*G319</f>
        <v/>
      </c>
      <c r="I319">
        <f>IF(TODAY()&lt;E319,"À venir",IF(TODAY()&lt;F319,"En cours","Terminée"))</f>
        <v/>
      </c>
      <c r="J319" t="inlineStr">
        <is>
          <t>Site web</t>
        </is>
      </c>
      <c r="K319" t="inlineStr">
        <is>
          <t>Terminée</t>
        </is>
      </c>
    </row>
    <row r="320">
      <c r="A320" t="inlineStr">
        <is>
          <t>L-00319</t>
        </is>
      </c>
      <c r="B320" t="inlineStr">
        <is>
          <t>95936-H-1</t>
        </is>
      </c>
      <c r="C320" t="inlineStr">
        <is>
          <t>G1385180</t>
        </is>
      </c>
      <c r="D320" s="4" t="n">
        <v>410</v>
      </c>
      <c r="E320" s="5" t="n">
        <v>46269</v>
      </c>
      <c r="F320" s="5" t="n">
        <v>46271</v>
      </c>
      <c r="G320">
        <f>MAX(1,F320-E320)</f>
        <v/>
      </c>
      <c r="H320" s="4">
        <f>D320*G320</f>
        <v/>
      </c>
      <c r="I320">
        <f>IF(TODAY()&lt;E320,"À venir",IF(TODAY()&lt;F320,"En cours","Terminée"))</f>
        <v/>
      </c>
      <c r="J320" t="inlineStr">
        <is>
          <t>Téléphone</t>
        </is>
      </c>
      <c r="K320" t="inlineStr">
        <is>
          <t>Terminée</t>
        </is>
      </c>
    </row>
    <row r="321">
      <c r="A321" t="inlineStr">
        <is>
          <t>L-00320</t>
        </is>
      </c>
      <c r="B321" t="inlineStr">
        <is>
          <t>21066-H-1</t>
        </is>
      </c>
      <c r="C321" t="inlineStr">
        <is>
          <t>PA4829847</t>
        </is>
      </c>
      <c r="D321" s="4" t="n">
        <v>540</v>
      </c>
      <c r="E321" s="5" t="n">
        <v>46270</v>
      </c>
      <c r="F321" s="5" t="n">
        <v>46272</v>
      </c>
      <c r="G321">
        <f>MAX(1,F321-E321)</f>
        <v/>
      </c>
      <c r="H321" s="4">
        <f>D321*G321</f>
        <v/>
      </c>
      <c r="I321">
        <f>IF(TODAY()&lt;E321,"À venir",IF(TODAY()&lt;F321,"En cours","Terminée"))</f>
        <v/>
      </c>
      <c r="J321" t="inlineStr">
        <is>
          <t>WhatsApp</t>
        </is>
      </c>
      <c r="K321" t="inlineStr">
        <is>
          <t>Terminée</t>
        </is>
      </c>
    </row>
    <row r="322">
      <c r="A322" t="inlineStr">
        <is>
          <t>L-00321</t>
        </is>
      </c>
      <c r="B322" t="inlineStr">
        <is>
          <t>35623-W-1</t>
        </is>
      </c>
      <c r="C322" t="inlineStr">
        <is>
          <t>AA897780</t>
        </is>
      </c>
      <c r="D322" s="4" t="n">
        <v>1290</v>
      </c>
      <c r="E322" s="5" t="n">
        <v>46270</v>
      </c>
      <c r="F322" s="5" t="n">
        <v>46275</v>
      </c>
      <c r="G322">
        <f>MAX(1,F322-E322)</f>
        <v/>
      </c>
      <c r="H322" s="4">
        <f>D322*G322</f>
        <v/>
      </c>
      <c r="I322">
        <f>IF(TODAY()&lt;E322,"À venir",IF(TODAY()&lt;F322,"En cours","Terminée"))</f>
        <v/>
      </c>
      <c r="J322" t="inlineStr">
        <is>
          <t>Facebook</t>
        </is>
      </c>
      <c r="K322" t="inlineStr">
        <is>
          <t>Terminée</t>
        </is>
      </c>
    </row>
    <row r="323">
      <c r="A323" t="inlineStr">
        <is>
          <t>L-00322</t>
        </is>
      </c>
      <c r="B323" t="inlineStr">
        <is>
          <t>36193-W-1</t>
        </is>
      </c>
      <c r="C323" t="inlineStr">
        <is>
          <t>DA621970</t>
        </is>
      </c>
      <c r="D323" s="4" t="n">
        <v>430</v>
      </c>
      <c r="E323" s="5" t="n">
        <v>46270</v>
      </c>
      <c r="F323" s="5" t="n">
        <v>46274</v>
      </c>
      <c r="G323">
        <f>MAX(1,F323-E323)</f>
        <v/>
      </c>
      <c r="H323" s="4">
        <f>D323*G323</f>
        <v/>
      </c>
      <c r="I323">
        <f>IF(TODAY()&lt;E323,"À venir",IF(TODAY()&lt;F323,"En cours","Terminée"))</f>
        <v/>
      </c>
      <c r="J323" t="inlineStr">
        <is>
          <t>Booking.com</t>
        </is>
      </c>
      <c r="K323" t="inlineStr">
        <is>
          <t>Terminée</t>
        </is>
      </c>
    </row>
    <row r="324">
      <c r="A324" t="inlineStr">
        <is>
          <t>L-00323</t>
        </is>
      </c>
      <c r="B324" t="inlineStr">
        <is>
          <t>71302-W-1</t>
        </is>
      </c>
      <c r="C324" t="inlineStr">
        <is>
          <t>AD526949</t>
        </is>
      </c>
      <c r="D324" s="4" t="n">
        <v>400</v>
      </c>
      <c r="E324" s="5" t="n">
        <v>46270</v>
      </c>
      <c r="F324" s="5" t="n">
        <v>46272</v>
      </c>
      <c r="G324">
        <f>MAX(1,F324-E324)</f>
        <v/>
      </c>
      <c r="H324" s="4">
        <f>D324*G324</f>
        <v/>
      </c>
      <c r="I324">
        <f>IF(TODAY()&lt;E324,"À venir",IF(TODAY()&lt;F324,"En cours","Terminée"))</f>
        <v/>
      </c>
      <c r="J324" t="inlineStr">
        <is>
          <t>Facebook</t>
        </is>
      </c>
      <c r="K324" t="inlineStr">
        <is>
          <t>Terminée</t>
        </is>
      </c>
    </row>
    <row r="325">
      <c r="A325" t="inlineStr">
        <is>
          <t>L-00324</t>
        </is>
      </c>
      <c r="B325" t="inlineStr">
        <is>
          <t>76545-W-1</t>
        </is>
      </c>
      <c r="C325" t="inlineStr">
        <is>
          <t>A4430872</t>
        </is>
      </c>
      <c r="D325" s="4" t="n">
        <v>630</v>
      </c>
      <c r="E325" s="5" t="n">
        <v>46270</v>
      </c>
      <c r="F325" s="5" t="n">
        <v>46271</v>
      </c>
      <c r="G325">
        <f>MAX(1,F325-E325)</f>
        <v/>
      </c>
      <c r="H325" s="4">
        <f>D325*G325</f>
        <v/>
      </c>
      <c r="I325">
        <f>IF(TODAY()&lt;E325,"À venir",IF(TODAY()&lt;F325,"En cours","Terminée"))</f>
        <v/>
      </c>
      <c r="J325" t="inlineStr">
        <is>
          <t>Comptoir</t>
        </is>
      </c>
      <c r="K325" t="inlineStr">
        <is>
          <t>Terminée</t>
        </is>
      </c>
    </row>
    <row r="326">
      <c r="A326" t="inlineStr">
        <is>
          <t>L-00325</t>
        </is>
      </c>
      <c r="B326" t="inlineStr">
        <is>
          <t>96667-D-1</t>
        </is>
      </c>
      <c r="C326" t="inlineStr">
        <is>
          <t>DA794435</t>
        </is>
      </c>
      <c r="D326" s="4" t="n">
        <v>900</v>
      </c>
      <c r="E326" s="5" t="n">
        <v>46270</v>
      </c>
      <c r="F326" s="5" t="n">
        <v>46274</v>
      </c>
      <c r="G326">
        <f>MAX(1,F326-E326)</f>
        <v/>
      </c>
      <c r="H326" s="4">
        <f>D326*G326</f>
        <v/>
      </c>
      <c r="I326">
        <f>IF(TODAY()&lt;E326,"À venir",IF(TODAY()&lt;F326,"En cours","Terminée"))</f>
        <v/>
      </c>
      <c r="J326" t="inlineStr">
        <is>
          <t>Instagram</t>
        </is>
      </c>
      <c r="K326" t="inlineStr">
        <is>
          <t>Terminée</t>
        </is>
      </c>
    </row>
    <row r="327">
      <c r="A327" t="inlineStr">
        <is>
          <t>L-00326</t>
        </is>
      </c>
      <c r="B327" t="inlineStr">
        <is>
          <t>33992-B-1</t>
        </is>
      </c>
      <c r="C327" t="inlineStr">
        <is>
          <t>A1266937</t>
        </is>
      </c>
      <c r="D327" s="4" t="n">
        <v>480</v>
      </c>
      <c r="E327" s="5" t="n">
        <v>46271</v>
      </c>
      <c r="F327" s="5" t="n">
        <v>46274</v>
      </c>
      <c r="G327">
        <f>MAX(1,F327-E327)</f>
        <v/>
      </c>
      <c r="H327" s="4">
        <f>D327*G327</f>
        <v/>
      </c>
      <c r="I327">
        <f>IF(TODAY()&lt;E327,"À venir",IF(TODAY()&lt;F327,"En cours","Terminée"))</f>
        <v/>
      </c>
      <c r="J327" t="inlineStr">
        <is>
          <t>Instagram</t>
        </is>
      </c>
      <c r="K327" t="inlineStr">
        <is>
          <t>Terminée</t>
        </is>
      </c>
    </row>
    <row r="328">
      <c r="A328" t="inlineStr">
        <is>
          <t>L-00327</t>
        </is>
      </c>
      <c r="B328" t="inlineStr">
        <is>
          <t>74343-B-1</t>
        </is>
      </c>
      <c r="C328" t="inlineStr">
        <is>
          <t>YA5163351</t>
        </is>
      </c>
      <c r="D328" s="4" t="n">
        <v>240</v>
      </c>
      <c r="E328" s="5" t="n">
        <v>46271</v>
      </c>
      <c r="F328" s="5" t="n">
        <v>46278</v>
      </c>
      <c r="G328">
        <f>MAX(1,F328-E328)</f>
        <v/>
      </c>
      <c r="H328" s="4">
        <f>D328*G328</f>
        <v/>
      </c>
      <c r="I328">
        <f>IF(TODAY()&lt;E328,"À venir",IF(TODAY()&lt;F328,"En cours","Terminée"))</f>
        <v/>
      </c>
      <c r="J328" t="inlineStr">
        <is>
          <t>WhatsApp</t>
        </is>
      </c>
      <c r="K328" t="inlineStr">
        <is>
          <t>Terminée</t>
        </is>
      </c>
    </row>
    <row r="329">
      <c r="A329" t="inlineStr">
        <is>
          <t>L-00328</t>
        </is>
      </c>
      <c r="B329" t="inlineStr">
        <is>
          <t>83373-B-1</t>
        </is>
      </c>
      <c r="C329" t="inlineStr">
        <is>
          <t>AA411366</t>
        </is>
      </c>
      <c r="D329" s="4" t="n">
        <v>300</v>
      </c>
      <c r="E329" s="5" t="n">
        <v>46271</v>
      </c>
      <c r="F329" s="5" t="n">
        <v>46274</v>
      </c>
      <c r="G329">
        <f>MAX(1,F329-E329)</f>
        <v/>
      </c>
      <c r="H329" s="4">
        <f>D329*G329</f>
        <v/>
      </c>
      <c r="I329">
        <f>IF(TODAY()&lt;E329,"À venir",IF(TODAY()&lt;F329,"En cours","Terminée"))</f>
        <v/>
      </c>
      <c r="J329" t="inlineStr">
        <is>
          <t>WhatsApp</t>
        </is>
      </c>
      <c r="K329" t="inlineStr">
        <is>
          <t>Terminée</t>
        </is>
      </c>
    </row>
    <row r="330">
      <c r="A330" t="inlineStr">
        <is>
          <t>L-00329</t>
        </is>
      </c>
      <c r="B330" t="inlineStr">
        <is>
          <t>83662-D-1</t>
        </is>
      </c>
      <c r="C330" t="inlineStr">
        <is>
          <t>AD633832</t>
        </is>
      </c>
      <c r="D330" s="4" t="n">
        <v>390</v>
      </c>
      <c r="E330" s="5" t="n">
        <v>46271</v>
      </c>
      <c r="F330" s="5" t="n">
        <v>46273</v>
      </c>
      <c r="G330">
        <f>MAX(1,F330-E330)</f>
        <v/>
      </c>
      <c r="H330" s="4">
        <f>D330*G330</f>
        <v/>
      </c>
      <c r="I330">
        <f>IF(TODAY()&lt;E330,"À venir",IF(TODAY()&lt;F330,"En cours","Terminée"))</f>
        <v/>
      </c>
      <c r="J330" t="inlineStr">
        <is>
          <t>Comptoir</t>
        </is>
      </c>
      <c r="K330" t="inlineStr">
        <is>
          <t>Terminée</t>
        </is>
      </c>
    </row>
    <row r="331">
      <c r="A331" t="inlineStr">
        <is>
          <t>L-00330</t>
        </is>
      </c>
      <c r="B331" t="inlineStr">
        <is>
          <t>85272-B-1</t>
        </is>
      </c>
      <c r="C331" t="inlineStr">
        <is>
          <t>CD176711</t>
        </is>
      </c>
      <c r="D331" s="4" t="n">
        <v>500</v>
      </c>
      <c r="E331" s="5" t="n">
        <v>46271</v>
      </c>
      <c r="F331" s="5" t="n">
        <v>46273</v>
      </c>
      <c r="G331">
        <f>MAX(1,F331-E331)</f>
        <v/>
      </c>
      <c r="H331" s="4">
        <f>D331*G331</f>
        <v/>
      </c>
      <c r="I331">
        <f>IF(TODAY()&lt;E331,"À venir",IF(TODAY()&lt;F331,"En cours","Terminée"))</f>
        <v/>
      </c>
      <c r="J331" t="inlineStr">
        <is>
          <t>WhatsApp</t>
        </is>
      </c>
      <c r="K331" t="inlineStr">
        <is>
          <t>Terminée</t>
        </is>
      </c>
    </row>
    <row r="332">
      <c r="A332" t="inlineStr">
        <is>
          <t>L-00331</t>
        </is>
      </c>
      <c r="B332" t="inlineStr">
        <is>
          <t>94626-B-1</t>
        </is>
      </c>
      <c r="C332" t="inlineStr">
        <is>
          <t>DA195125</t>
        </is>
      </c>
      <c r="D332" s="4" t="n">
        <v>1040</v>
      </c>
      <c r="E332" s="5" t="n">
        <v>46271</v>
      </c>
      <c r="F332" s="5" t="n">
        <v>46274</v>
      </c>
      <c r="G332">
        <f>MAX(1,F332-E332)</f>
        <v/>
      </c>
      <c r="H332" s="4">
        <f>D332*G332</f>
        <v/>
      </c>
      <c r="I332">
        <f>IF(TODAY()&lt;E332,"À venir",IF(TODAY()&lt;F332,"En cours","Terminée"))</f>
        <v/>
      </c>
      <c r="J332" t="inlineStr">
        <is>
          <t>Téléphone</t>
        </is>
      </c>
      <c r="K332" t="inlineStr">
        <is>
          <t>Terminée</t>
        </is>
      </c>
    </row>
    <row r="333">
      <c r="A333" t="inlineStr">
        <is>
          <t>L-00332</t>
        </is>
      </c>
      <c r="B333" t="inlineStr">
        <is>
          <t>47649-D-1</t>
        </is>
      </c>
      <c r="C333" t="inlineStr">
        <is>
          <t>BK589170</t>
        </is>
      </c>
      <c r="D333" s="4" t="n">
        <v>280</v>
      </c>
      <c r="E333" s="5" t="n">
        <v>46272</v>
      </c>
      <c r="F333" s="5" t="n">
        <v>46276</v>
      </c>
      <c r="G333">
        <f>MAX(1,F333-E333)</f>
        <v/>
      </c>
      <c r="H333" s="4">
        <f>D333*G333</f>
        <v/>
      </c>
      <c r="I333">
        <f>IF(TODAY()&lt;E333,"À venir",IF(TODAY()&lt;F333,"En cours","Terminée"))</f>
        <v/>
      </c>
      <c r="J333" t="inlineStr">
        <is>
          <t>Comptoir</t>
        </is>
      </c>
      <c r="K333" t="inlineStr">
        <is>
          <t>Terminée</t>
        </is>
      </c>
    </row>
    <row r="334">
      <c r="A334" t="inlineStr">
        <is>
          <t>L-00333</t>
        </is>
      </c>
      <c r="B334" t="inlineStr">
        <is>
          <t>54616-W-1</t>
        </is>
      </c>
      <c r="C334" t="inlineStr">
        <is>
          <t>EE660854</t>
        </is>
      </c>
      <c r="D334" s="4" t="n">
        <v>210</v>
      </c>
      <c r="E334" s="5" t="n">
        <v>46272</v>
      </c>
      <c r="F334" s="5" t="n">
        <v>46273</v>
      </c>
      <c r="G334">
        <f>MAX(1,F334-E334)</f>
        <v/>
      </c>
      <c r="H334" s="4">
        <f>D334*G334</f>
        <v/>
      </c>
      <c r="I334">
        <f>IF(TODAY()&lt;E334,"À venir",IF(TODAY()&lt;F334,"En cours","Terminée"))</f>
        <v/>
      </c>
      <c r="J334" t="inlineStr">
        <is>
          <t>Site web</t>
        </is>
      </c>
      <c r="K334" t="inlineStr">
        <is>
          <t>Terminée</t>
        </is>
      </c>
    </row>
    <row r="335">
      <c r="A335" t="inlineStr">
        <is>
          <t>L-00334</t>
        </is>
      </c>
      <c r="B335" t="inlineStr">
        <is>
          <t>62064-H-1</t>
        </is>
      </c>
      <c r="C335" t="inlineStr">
        <is>
          <t>EE277121</t>
        </is>
      </c>
      <c r="D335" s="4" t="n">
        <v>300</v>
      </c>
      <c r="E335" s="5" t="n">
        <v>46272</v>
      </c>
      <c r="F335" s="5" t="n">
        <v>46277</v>
      </c>
      <c r="G335">
        <f>MAX(1,F335-E335)</f>
        <v/>
      </c>
      <c r="H335" s="4">
        <f>D335*G335</f>
        <v/>
      </c>
      <c r="I335">
        <f>IF(TODAY()&lt;E335,"À venir",IF(TODAY()&lt;F335,"En cours","Terminée"))</f>
        <v/>
      </c>
      <c r="J335" t="inlineStr">
        <is>
          <t>Site web</t>
        </is>
      </c>
      <c r="K335" t="inlineStr">
        <is>
          <t>Terminée</t>
        </is>
      </c>
    </row>
    <row r="336">
      <c r="A336" t="inlineStr">
        <is>
          <t>L-00335</t>
        </is>
      </c>
      <c r="B336" t="inlineStr">
        <is>
          <t>69873-A-1</t>
        </is>
      </c>
      <c r="C336" t="inlineStr">
        <is>
          <t>A4430872</t>
        </is>
      </c>
      <c r="D336" s="4" t="n">
        <v>330</v>
      </c>
      <c r="E336" s="5" t="n">
        <v>46272</v>
      </c>
      <c r="F336" s="5" t="n">
        <v>46276</v>
      </c>
      <c r="G336">
        <f>MAX(1,F336-E336)</f>
        <v/>
      </c>
      <c r="H336" s="4">
        <f>D336*G336</f>
        <v/>
      </c>
      <c r="I336">
        <f>IF(TODAY()&lt;E336,"À venir",IF(TODAY()&lt;F336,"En cours","Terminée"))</f>
        <v/>
      </c>
      <c r="J336" t="inlineStr">
        <is>
          <t>Instagram</t>
        </is>
      </c>
      <c r="K336" t="inlineStr">
        <is>
          <t>Terminée</t>
        </is>
      </c>
    </row>
    <row r="337">
      <c r="A337" t="inlineStr">
        <is>
          <t>L-00336</t>
        </is>
      </c>
      <c r="B337" t="inlineStr">
        <is>
          <t>71994-D-1</t>
        </is>
      </c>
      <c r="C337" t="inlineStr">
        <is>
          <t>BE996341</t>
        </is>
      </c>
      <c r="D337" s="4" t="n">
        <v>610</v>
      </c>
      <c r="E337" s="5" t="n">
        <v>46272</v>
      </c>
      <c r="F337" s="5" t="n">
        <v>46277</v>
      </c>
      <c r="G337">
        <f>MAX(1,F337-E337)</f>
        <v/>
      </c>
      <c r="H337" s="4">
        <f>D337*G337</f>
        <v/>
      </c>
      <c r="I337">
        <f>IF(TODAY()&lt;E337,"À venir",IF(TODAY()&lt;F337,"En cours","Terminée"))</f>
        <v/>
      </c>
      <c r="J337" t="inlineStr">
        <is>
          <t>WhatsApp</t>
        </is>
      </c>
      <c r="K337" t="inlineStr">
        <is>
          <t>Terminée</t>
        </is>
      </c>
    </row>
    <row r="338">
      <c r="A338" t="inlineStr">
        <is>
          <t>L-00337</t>
        </is>
      </c>
      <c r="B338" t="inlineStr">
        <is>
          <t>88778-A-1</t>
        </is>
      </c>
      <c r="C338" t="inlineStr">
        <is>
          <t>EE793915</t>
        </is>
      </c>
      <c r="D338" s="4" t="n">
        <v>230</v>
      </c>
      <c r="E338" s="5" t="n">
        <v>46272</v>
      </c>
      <c r="F338" s="5" t="n">
        <v>46273</v>
      </c>
      <c r="G338">
        <f>MAX(1,F338-E338)</f>
        <v/>
      </c>
      <c r="H338" s="4">
        <f>D338*G338</f>
        <v/>
      </c>
      <c r="I338">
        <f>IF(TODAY()&lt;E338,"À venir",IF(TODAY()&lt;F338,"En cours","Terminée"))</f>
        <v/>
      </c>
      <c r="J338" t="inlineStr">
        <is>
          <t>WhatsApp</t>
        </is>
      </c>
      <c r="K338" t="inlineStr">
        <is>
          <t>Terminée</t>
        </is>
      </c>
    </row>
    <row r="339">
      <c r="A339" t="inlineStr">
        <is>
          <t>L-00338</t>
        </is>
      </c>
      <c r="B339" t="inlineStr">
        <is>
          <t>95936-H-1</t>
        </is>
      </c>
      <c r="C339" t="inlineStr">
        <is>
          <t>DA646673</t>
        </is>
      </c>
      <c r="D339" s="4" t="n">
        <v>420</v>
      </c>
      <c r="E339" s="5" t="n">
        <v>46272</v>
      </c>
      <c r="F339" s="5" t="n">
        <v>46277</v>
      </c>
      <c r="G339">
        <f>MAX(1,F339-E339)</f>
        <v/>
      </c>
      <c r="H339" s="4">
        <f>D339*G339</f>
        <v/>
      </c>
      <c r="I339">
        <f>IF(TODAY()&lt;E339,"À venir",IF(TODAY()&lt;F339,"En cours","Terminée"))</f>
        <v/>
      </c>
      <c r="J339" t="inlineStr">
        <is>
          <t>Booking.com</t>
        </is>
      </c>
      <c r="K339" t="inlineStr">
        <is>
          <t>Terminée</t>
        </is>
      </c>
    </row>
    <row r="340">
      <c r="A340" t="inlineStr">
        <is>
          <t>L-00339</t>
        </is>
      </c>
      <c r="B340" t="inlineStr">
        <is>
          <t>97018-A-1</t>
        </is>
      </c>
      <c r="C340" t="inlineStr">
        <is>
          <t>DA563230</t>
        </is>
      </c>
      <c r="D340" s="4" t="n">
        <v>380</v>
      </c>
      <c r="E340" s="5" t="n">
        <v>46272</v>
      </c>
      <c r="F340" s="5" t="n">
        <v>46273</v>
      </c>
      <c r="G340">
        <f>MAX(1,F340-E340)</f>
        <v/>
      </c>
      <c r="H340" s="4">
        <f>D340*G340</f>
        <v/>
      </c>
      <c r="I340">
        <f>IF(TODAY()&lt;E340,"À venir",IF(TODAY()&lt;F340,"En cours","Terminée"))</f>
        <v/>
      </c>
      <c r="J340" t="inlineStr">
        <is>
          <t>Instagram</t>
        </is>
      </c>
      <c r="K340" t="inlineStr">
        <is>
          <t>Terminée</t>
        </is>
      </c>
    </row>
    <row r="341">
      <c r="A341" t="inlineStr">
        <is>
          <t>L-00340</t>
        </is>
      </c>
      <c r="B341" t="inlineStr">
        <is>
          <t>25835-W-1</t>
        </is>
      </c>
      <c r="C341" t="inlineStr">
        <is>
          <t>BE738077</t>
        </is>
      </c>
      <c r="D341" s="4" t="n">
        <v>540</v>
      </c>
      <c r="E341" s="5" t="n">
        <v>46273</v>
      </c>
      <c r="F341" s="5" t="n">
        <v>46276</v>
      </c>
      <c r="G341">
        <f>MAX(1,F341-E341)</f>
        <v/>
      </c>
      <c r="H341" s="4">
        <f>D341*G341</f>
        <v/>
      </c>
      <c r="I341">
        <f>IF(TODAY()&lt;E341,"À venir",IF(TODAY()&lt;F341,"En cours","Terminée"))</f>
        <v/>
      </c>
      <c r="J341" t="inlineStr">
        <is>
          <t>Comptoir</t>
        </is>
      </c>
      <c r="K341" t="inlineStr">
        <is>
          <t>Terminée</t>
        </is>
      </c>
    </row>
    <row r="342">
      <c r="A342" t="inlineStr">
        <is>
          <t>L-00341</t>
        </is>
      </c>
      <c r="B342" t="inlineStr">
        <is>
          <t>71302-W-1</t>
        </is>
      </c>
      <c r="C342" t="inlineStr">
        <is>
          <t>AE279704</t>
        </is>
      </c>
      <c r="D342" s="4" t="n">
        <v>380</v>
      </c>
      <c r="E342" s="5" t="n">
        <v>46273</v>
      </c>
      <c r="F342" s="5" t="n">
        <v>46275</v>
      </c>
      <c r="G342">
        <f>MAX(1,F342-E342)</f>
        <v/>
      </c>
      <c r="H342" s="4">
        <f>D342*G342</f>
        <v/>
      </c>
      <c r="I342">
        <f>IF(TODAY()&lt;E342,"À venir",IF(TODAY()&lt;F342,"En cours","Terminée"))</f>
        <v/>
      </c>
      <c r="J342" t="inlineStr">
        <is>
          <t>WhatsApp</t>
        </is>
      </c>
      <c r="K342" t="inlineStr">
        <is>
          <t>Terminée</t>
        </is>
      </c>
    </row>
    <row r="343">
      <c r="A343" t="inlineStr">
        <is>
          <t>L-00342</t>
        </is>
      </c>
      <c r="B343" t="inlineStr">
        <is>
          <t>75329-D-1</t>
        </is>
      </c>
      <c r="C343" t="inlineStr">
        <is>
          <t>EE722487</t>
        </is>
      </c>
      <c r="D343" s="4" t="n">
        <v>490</v>
      </c>
      <c r="E343" s="5" t="n">
        <v>46273</v>
      </c>
      <c r="F343" s="5" t="n">
        <v>46275</v>
      </c>
      <c r="G343">
        <f>MAX(1,F343-E343)</f>
        <v/>
      </c>
      <c r="H343" s="4">
        <f>D343*G343</f>
        <v/>
      </c>
      <c r="I343">
        <f>IF(TODAY()&lt;E343,"À venir",IF(TODAY()&lt;F343,"En cours","Terminée"))</f>
        <v/>
      </c>
      <c r="J343" t="inlineStr">
        <is>
          <t>Facebook</t>
        </is>
      </c>
      <c r="K343" t="inlineStr">
        <is>
          <t>Terminée</t>
        </is>
      </c>
    </row>
    <row r="344">
      <c r="A344" t="inlineStr">
        <is>
          <t>L-00343</t>
        </is>
      </c>
      <c r="B344" t="inlineStr">
        <is>
          <t>76897-B-1</t>
        </is>
      </c>
      <c r="C344" t="inlineStr">
        <is>
          <t>PA7788001</t>
        </is>
      </c>
      <c r="D344" s="4" t="n">
        <v>560</v>
      </c>
      <c r="E344" s="5" t="n">
        <v>46273</v>
      </c>
      <c r="F344" s="5" t="n">
        <v>46274</v>
      </c>
      <c r="G344">
        <f>MAX(1,F344-E344)</f>
        <v/>
      </c>
      <c r="H344" s="4">
        <f>D344*G344</f>
        <v/>
      </c>
      <c r="I344">
        <f>IF(TODAY()&lt;E344,"À venir",IF(TODAY()&lt;F344,"En cours","Terminée"))</f>
        <v/>
      </c>
      <c r="J344" t="inlineStr">
        <is>
          <t>WhatsApp</t>
        </is>
      </c>
      <c r="K344" t="inlineStr">
        <is>
          <t>Terminée</t>
        </is>
      </c>
    </row>
    <row r="345">
      <c r="A345" t="inlineStr">
        <is>
          <t>L-00344</t>
        </is>
      </c>
      <c r="B345" t="inlineStr">
        <is>
          <t>77893-H-1</t>
        </is>
      </c>
      <c r="C345" t="inlineStr">
        <is>
          <t>A9203288</t>
        </is>
      </c>
      <c r="D345" s="4" t="n">
        <v>270</v>
      </c>
      <c r="E345" s="5" t="n">
        <v>46273</v>
      </c>
      <c r="F345" s="5" t="n">
        <v>46275</v>
      </c>
      <c r="G345">
        <f>MAX(1,F345-E345)</f>
        <v/>
      </c>
      <c r="H345" s="4">
        <f>D345*G345</f>
        <v/>
      </c>
      <c r="I345">
        <f>IF(TODAY()&lt;E345,"À venir",IF(TODAY()&lt;F345,"En cours","Terminée"))</f>
        <v/>
      </c>
      <c r="J345" t="inlineStr">
        <is>
          <t>WhatsApp</t>
        </is>
      </c>
      <c r="K345" t="inlineStr">
        <is>
          <t>Terminée</t>
        </is>
      </c>
    </row>
    <row r="346">
      <c r="A346" t="inlineStr">
        <is>
          <t>L-00345</t>
        </is>
      </c>
      <c r="B346" t="inlineStr">
        <is>
          <t>84923-D-1</t>
        </is>
      </c>
      <c r="C346" t="inlineStr">
        <is>
          <t>AE442098</t>
        </is>
      </c>
      <c r="D346" s="4" t="n">
        <v>650</v>
      </c>
      <c r="E346" s="5" t="n">
        <v>46273</v>
      </c>
      <c r="F346" s="5" t="n">
        <v>46275</v>
      </c>
      <c r="G346">
        <f>MAX(1,F346-E346)</f>
        <v/>
      </c>
      <c r="H346" s="4">
        <f>D346*G346</f>
        <v/>
      </c>
      <c r="I346">
        <f>IF(TODAY()&lt;E346,"À venir",IF(TODAY()&lt;F346,"En cours","Terminée"))</f>
        <v/>
      </c>
      <c r="J346" t="inlineStr">
        <is>
          <t>Comptoir</t>
        </is>
      </c>
      <c r="K346" t="inlineStr">
        <is>
          <t>Terminée</t>
        </is>
      </c>
    </row>
    <row r="347">
      <c r="A347" t="inlineStr">
        <is>
          <t>L-00346</t>
        </is>
      </c>
      <c r="B347" t="inlineStr">
        <is>
          <t>97618-A-1</t>
        </is>
      </c>
      <c r="C347" t="inlineStr">
        <is>
          <t>A4430872</t>
        </is>
      </c>
      <c r="D347" s="4" t="n">
        <v>410</v>
      </c>
      <c r="E347" s="5" t="n">
        <v>46273</v>
      </c>
      <c r="F347" s="5" t="n">
        <v>46280</v>
      </c>
      <c r="G347">
        <f>MAX(1,F347-E347)</f>
        <v/>
      </c>
      <c r="H347" s="4">
        <f>D347*G347</f>
        <v/>
      </c>
      <c r="I347">
        <f>IF(TODAY()&lt;E347,"À venir",IF(TODAY()&lt;F347,"En cours","Terminée"))</f>
        <v/>
      </c>
      <c r="J347" t="inlineStr">
        <is>
          <t>Facebook</t>
        </is>
      </c>
      <c r="K347" t="inlineStr">
        <is>
          <t>Terminée</t>
        </is>
      </c>
    </row>
    <row r="348">
      <c r="A348" t="inlineStr">
        <is>
          <t>L-00347</t>
        </is>
      </c>
      <c r="B348" t="inlineStr">
        <is>
          <t>21066-H-1</t>
        </is>
      </c>
      <c r="C348" t="inlineStr">
        <is>
          <t>BK841625</t>
        </is>
      </c>
      <c r="D348" s="4" t="n">
        <v>560</v>
      </c>
      <c r="E348" s="5" t="n">
        <v>46274</v>
      </c>
      <c r="F348" s="5" t="n">
        <v>46279</v>
      </c>
      <c r="G348">
        <f>MAX(1,F348-E348)</f>
        <v/>
      </c>
      <c r="H348" s="4">
        <f>D348*G348</f>
        <v/>
      </c>
      <c r="I348">
        <f>IF(TODAY()&lt;E348,"À venir",IF(TODAY()&lt;F348,"En cours","Terminée"))</f>
        <v/>
      </c>
      <c r="J348" t="inlineStr">
        <is>
          <t>Comptoir</t>
        </is>
      </c>
      <c r="K348" t="inlineStr">
        <is>
          <t>Terminée</t>
        </is>
      </c>
    </row>
    <row r="349">
      <c r="A349" t="inlineStr">
        <is>
          <t>L-00348</t>
        </is>
      </c>
      <c r="B349" t="inlineStr">
        <is>
          <t>49965-H-1</t>
        </is>
      </c>
      <c r="C349" t="inlineStr">
        <is>
          <t>EE136200</t>
        </is>
      </c>
      <c r="D349" s="4" t="n">
        <v>960</v>
      </c>
      <c r="E349" s="5" t="n">
        <v>46274</v>
      </c>
      <c r="F349" s="5" t="n">
        <v>46277</v>
      </c>
      <c r="G349">
        <f>MAX(1,F349-E349)</f>
        <v/>
      </c>
      <c r="H349" s="4">
        <f>D349*G349</f>
        <v/>
      </c>
      <c r="I349">
        <f>IF(TODAY()&lt;E349,"À venir",IF(TODAY()&lt;F349,"En cours","Terminée"))</f>
        <v/>
      </c>
      <c r="J349" t="inlineStr">
        <is>
          <t>Comptoir</t>
        </is>
      </c>
      <c r="K349" t="inlineStr">
        <is>
          <t>Terminée</t>
        </is>
      </c>
    </row>
    <row r="350">
      <c r="A350" t="inlineStr">
        <is>
          <t>L-00349</t>
        </is>
      </c>
      <c r="B350" t="inlineStr">
        <is>
          <t>81442-B-1</t>
        </is>
      </c>
      <c r="C350" t="inlineStr">
        <is>
          <t>PA7788001</t>
        </is>
      </c>
      <c r="D350" s="4" t="n">
        <v>410</v>
      </c>
      <c r="E350" s="5" t="n">
        <v>46274</v>
      </c>
      <c r="F350" s="5" t="n">
        <v>46279</v>
      </c>
      <c r="G350">
        <f>MAX(1,F350-E350)</f>
        <v/>
      </c>
      <c r="H350" s="4">
        <f>D350*G350</f>
        <v/>
      </c>
      <c r="I350">
        <f>IF(TODAY()&lt;E350,"À venir",IF(TODAY()&lt;F350,"En cours","Terminée"))</f>
        <v/>
      </c>
      <c r="J350" t="inlineStr">
        <is>
          <t>Instagram</t>
        </is>
      </c>
      <c r="K350" t="inlineStr">
        <is>
          <t>Terminée</t>
        </is>
      </c>
    </row>
    <row r="351">
      <c r="A351" t="inlineStr">
        <is>
          <t>L-00350</t>
        </is>
      </c>
      <c r="B351" t="inlineStr">
        <is>
          <t>83662-D-1</t>
        </is>
      </c>
      <c r="C351" t="inlineStr">
        <is>
          <t>G8815782</t>
        </is>
      </c>
      <c r="D351" s="4" t="n">
        <v>420</v>
      </c>
      <c r="E351" s="5" t="n">
        <v>46274</v>
      </c>
      <c r="F351" s="5" t="n">
        <v>46275</v>
      </c>
      <c r="G351">
        <f>MAX(1,F351-E351)</f>
        <v/>
      </c>
      <c r="H351" s="4">
        <f>D351*G351</f>
        <v/>
      </c>
      <c r="I351">
        <f>IF(TODAY()&lt;E351,"À venir",IF(TODAY()&lt;F351,"En cours","Terminée"))</f>
        <v/>
      </c>
      <c r="J351" t="inlineStr">
        <is>
          <t>Booking.com</t>
        </is>
      </c>
      <c r="K351" t="inlineStr">
        <is>
          <t>Terminée</t>
        </is>
      </c>
    </row>
    <row r="352">
      <c r="A352" t="inlineStr">
        <is>
          <t>L-00351</t>
        </is>
      </c>
      <c r="B352" t="inlineStr">
        <is>
          <t>85272-B-1</t>
        </is>
      </c>
      <c r="C352" t="inlineStr">
        <is>
          <t>DA228644</t>
        </is>
      </c>
      <c r="D352" s="4" t="n">
        <v>490</v>
      </c>
      <c r="E352" s="5" t="n">
        <v>46274</v>
      </c>
      <c r="F352" s="5" t="n">
        <v>46277</v>
      </c>
      <c r="G352">
        <f>MAX(1,F352-E352)</f>
        <v/>
      </c>
      <c r="H352" s="4">
        <f>D352*G352</f>
        <v/>
      </c>
      <c r="I352">
        <f>IF(TODAY()&lt;E352,"À venir",IF(TODAY()&lt;F352,"En cours","Terminée"))</f>
        <v/>
      </c>
      <c r="J352" t="inlineStr">
        <is>
          <t>WhatsApp</t>
        </is>
      </c>
      <c r="K352" t="inlineStr">
        <is>
          <t>Terminée</t>
        </is>
      </c>
    </row>
    <row r="353">
      <c r="A353" t="inlineStr">
        <is>
          <t>L-00352</t>
        </is>
      </c>
      <c r="B353" t="inlineStr">
        <is>
          <t>91702-H-1</t>
        </is>
      </c>
      <c r="C353" t="inlineStr">
        <is>
          <t>BE926937</t>
        </is>
      </c>
      <c r="D353" s="4" t="n">
        <v>890</v>
      </c>
      <c r="E353" s="5" t="n">
        <v>46274</v>
      </c>
      <c r="F353" s="5" t="n">
        <v>46279</v>
      </c>
      <c r="G353">
        <f>MAX(1,F353-E353)</f>
        <v/>
      </c>
      <c r="H353" s="4">
        <f>D353*G353</f>
        <v/>
      </c>
      <c r="I353">
        <f>IF(TODAY()&lt;E353,"À venir",IF(TODAY()&lt;F353,"En cours","Terminée"))</f>
        <v/>
      </c>
      <c r="J353" t="inlineStr">
        <is>
          <t>Site web</t>
        </is>
      </c>
      <c r="K353" t="inlineStr">
        <is>
          <t>Terminée</t>
        </is>
      </c>
    </row>
    <row r="354">
      <c r="A354" t="inlineStr">
        <is>
          <t>L-00353</t>
        </is>
      </c>
      <c r="B354" t="inlineStr">
        <is>
          <t>22394-A-1</t>
        </is>
      </c>
      <c r="C354" t="inlineStr">
        <is>
          <t>EE722487</t>
        </is>
      </c>
      <c r="D354" s="4" t="n">
        <v>360</v>
      </c>
      <c r="E354" s="5" t="n">
        <v>46275</v>
      </c>
      <c r="F354" s="5" t="n">
        <v>46279</v>
      </c>
      <c r="G354">
        <f>MAX(1,F354-E354)</f>
        <v/>
      </c>
      <c r="H354" s="4">
        <f>D354*G354</f>
        <v/>
      </c>
      <c r="I354">
        <f>IF(TODAY()&lt;E354,"À venir",IF(TODAY()&lt;F354,"En cours","Terminée"))</f>
        <v/>
      </c>
      <c r="J354" t="inlineStr">
        <is>
          <t>Facebook</t>
        </is>
      </c>
      <c r="K354" t="inlineStr">
        <is>
          <t>Terminée</t>
        </is>
      </c>
    </row>
    <row r="355">
      <c r="A355" t="inlineStr">
        <is>
          <t>L-00354</t>
        </is>
      </c>
      <c r="B355" t="inlineStr">
        <is>
          <t>54616-W-1</t>
        </is>
      </c>
      <c r="C355" t="inlineStr">
        <is>
          <t>DA532628</t>
        </is>
      </c>
      <c r="D355" s="4" t="n">
        <v>200</v>
      </c>
      <c r="E355" s="5" t="n">
        <v>46275</v>
      </c>
      <c r="F355" s="5" t="n">
        <v>46277</v>
      </c>
      <c r="G355">
        <f>MAX(1,F355-E355)</f>
        <v/>
      </c>
      <c r="H355" s="4">
        <f>D355*G355</f>
        <v/>
      </c>
      <c r="I355">
        <f>IF(TODAY()&lt;E355,"À venir",IF(TODAY()&lt;F355,"En cours","Terminée"))</f>
        <v/>
      </c>
      <c r="J355" t="inlineStr">
        <is>
          <t>Comptoir</t>
        </is>
      </c>
      <c r="K355" t="inlineStr">
        <is>
          <t>Terminée</t>
        </is>
      </c>
    </row>
    <row r="356">
      <c r="A356" t="inlineStr">
        <is>
          <t>L-00355</t>
        </is>
      </c>
      <c r="B356" t="inlineStr">
        <is>
          <t>72769-D-1</t>
        </is>
      </c>
      <c r="C356" t="inlineStr">
        <is>
          <t>A8270991</t>
        </is>
      </c>
      <c r="D356" s="4" t="n">
        <v>200</v>
      </c>
      <c r="E356" s="5" t="n">
        <v>46275</v>
      </c>
      <c r="F356" s="5" t="n">
        <v>46279</v>
      </c>
      <c r="G356">
        <f>MAX(1,F356-E356)</f>
        <v/>
      </c>
      <c r="H356" s="4">
        <f>D356*G356</f>
        <v/>
      </c>
      <c r="I356">
        <f>IF(TODAY()&lt;E356,"À venir",IF(TODAY()&lt;F356,"En cours","Terminée"))</f>
        <v/>
      </c>
      <c r="J356" t="inlineStr">
        <is>
          <t>WhatsApp</t>
        </is>
      </c>
      <c r="K356" t="inlineStr">
        <is>
          <t>Terminée</t>
        </is>
      </c>
    </row>
    <row r="357">
      <c r="A357" t="inlineStr">
        <is>
          <t>L-00356</t>
        </is>
      </c>
      <c r="B357" t="inlineStr">
        <is>
          <t>76545-W-1</t>
        </is>
      </c>
      <c r="C357" t="inlineStr">
        <is>
          <t>EE211678</t>
        </is>
      </c>
      <c r="D357" s="4" t="n">
        <v>660</v>
      </c>
      <c r="E357" s="5" t="n">
        <v>46275</v>
      </c>
      <c r="F357" s="5" t="n">
        <v>46277</v>
      </c>
      <c r="G357">
        <f>MAX(1,F357-E357)</f>
        <v/>
      </c>
      <c r="H357" s="4">
        <f>D357*G357</f>
        <v/>
      </c>
      <c r="I357">
        <f>IF(TODAY()&lt;E357,"À venir",IF(TODAY()&lt;F357,"En cours","Terminée"))</f>
        <v/>
      </c>
      <c r="J357" t="inlineStr">
        <is>
          <t>WhatsApp</t>
        </is>
      </c>
      <c r="K357" t="inlineStr">
        <is>
          <t>Terminée</t>
        </is>
      </c>
    </row>
    <row r="358">
      <c r="A358" t="inlineStr">
        <is>
          <t>L-00357</t>
        </is>
      </c>
      <c r="B358" t="inlineStr">
        <is>
          <t>76897-B-1</t>
        </is>
      </c>
      <c r="C358" t="inlineStr">
        <is>
          <t>PA7788001</t>
        </is>
      </c>
      <c r="D358" s="4" t="n">
        <v>580</v>
      </c>
      <c r="E358" s="5" t="n">
        <v>46275</v>
      </c>
      <c r="F358" s="5" t="n">
        <v>46277</v>
      </c>
      <c r="G358">
        <f>MAX(1,F358-E358)</f>
        <v/>
      </c>
      <c r="H358" s="4">
        <f>D358*G358</f>
        <v/>
      </c>
      <c r="I358">
        <f>IF(TODAY()&lt;E358,"À venir",IF(TODAY()&lt;F358,"En cours","Terminée"))</f>
        <v/>
      </c>
      <c r="J358" t="inlineStr">
        <is>
          <t>Booking.com</t>
        </is>
      </c>
      <c r="K358" t="inlineStr">
        <is>
          <t>Terminée</t>
        </is>
      </c>
    </row>
    <row r="359">
      <c r="A359" t="inlineStr">
        <is>
          <t>L-00358</t>
        </is>
      </c>
      <c r="B359" t="inlineStr">
        <is>
          <t>88778-A-1</t>
        </is>
      </c>
      <c r="C359" t="inlineStr">
        <is>
          <t>BK335770</t>
        </is>
      </c>
      <c r="D359" s="4" t="n">
        <v>220</v>
      </c>
      <c r="E359" s="5" t="n">
        <v>46275</v>
      </c>
      <c r="F359" s="5" t="n">
        <v>46278</v>
      </c>
      <c r="G359">
        <f>MAX(1,F359-E359)</f>
        <v/>
      </c>
      <c r="H359" s="4">
        <f>D359*G359</f>
        <v/>
      </c>
      <c r="I359">
        <f>IF(TODAY()&lt;E359,"À venir",IF(TODAY()&lt;F359,"En cours","Terminée"))</f>
        <v/>
      </c>
      <c r="J359" t="inlineStr">
        <is>
          <t>WhatsApp</t>
        </is>
      </c>
      <c r="K359" t="inlineStr">
        <is>
          <t>Terminée</t>
        </is>
      </c>
    </row>
    <row r="360">
      <c r="A360" t="inlineStr">
        <is>
          <t>L-00359</t>
        </is>
      </c>
      <c r="B360" t="inlineStr">
        <is>
          <t>33992-B-1</t>
        </is>
      </c>
      <c r="C360" t="inlineStr">
        <is>
          <t>AA273348</t>
        </is>
      </c>
      <c r="D360" s="4" t="n">
        <v>480</v>
      </c>
      <c r="E360" s="5" t="n">
        <v>46276</v>
      </c>
      <c r="F360" s="5" t="n">
        <v>46279</v>
      </c>
      <c r="G360">
        <f>MAX(1,F360-E360)</f>
        <v/>
      </c>
      <c r="H360" s="4">
        <f>D360*G360</f>
        <v/>
      </c>
      <c r="I360">
        <f>IF(TODAY()&lt;E360,"À venir",IF(TODAY()&lt;F360,"En cours","Terminée"))</f>
        <v/>
      </c>
      <c r="J360" t="inlineStr">
        <is>
          <t>Instagram</t>
        </is>
      </c>
      <c r="K360" t="inlineStr">
        <is>
          <t>Terminée</t>
        </is>
      </c>
    </row>
    <row r="361">
      <c r="A361" t="inlineStr">
        <is>
          <t>L-00360</t>
        </is>
      </c>
      <c r="B361" t="inlineStr">
        <is>
          <t>35623-W-1</t>
        </is>
      </c>
      <c r="C361" t="inlineStr">
        <is>
          <t>CD176711</t>
        </is>
      </c>
      <c r="D361" s="4" t="n">
        <v>1330</v>
      </c>
      <c r="E361" s="5" t="n">
        <v>46276</v>
      </c>
      <c r="F361" s="5" t="n">
        <v>46280</v>
      </c>
      <c r="G361">
        <f>MAX(1,F361-E361)</f>
        <v/>
      </c>
      <c r="H361" s="4">
        <f>D361*G361</f>
        <v/>
      </c>
      <c r="I361">
        <f>IF(TODAY()&lt;E361,"À venir",IF(TODAY()&lt;F361,"En cours","Terminée"))</f>
        <v/>
      </c>
      <c r="J361" t="inlineStr">
        <is>
          <t>Facebook</t>
        </is>
      </c>
      <c r="K361" t="inlineStr">
        <is>
          <t>Terminée</t>
        </is>
      </c>
    </row>
    <row r="362">
      <c r="A362" t="inlineStr">
        <is>
          <t>L-00361</t>
        </is>
      </c>
      <c r="B362" t="inlineStr">
        <is>
          <t>36193-W-1</t>
        </is>
      </c>
      <c r="C362" t="inlineStr">
        <is>
          <t>G6378219</t>
        </is>
      </c>
      <c r="D362" s="4" t="n">
        <v>420</v>
      </c>
      <c r="E362" s="5" t="n">
        <v>46276</v>
      </c>
      <c r="F362" s="5" t="n">
        <v>46277</v>
      </c>
      <c r="G362">
        <f>MAX(1,F362-E362)</f>
        <v/>
      </c>
      <c r="H362" s="4">
        <f>D362*G362</f>
        <v/>
      </c>
      <c r="I362">
        <f>IF(TODAY()&lt;E362,"À venir",IF(TODAY()&lt;F362,"En cours","Terminée"))</f>
        <v/>
      </c>
      <c r="J362" t="inlineStr">
        <is>
          <t>WhatsApp</t>
        </is>
      </c>
      <c r="K362" t="inlineStr">
        <is>
          <t>Terminée</t>
        </is>
      </c>
    </row>
    <row r="363">
      <c r="A363" t="inlineStr">
        <is>
          <t>L-00362</t>
        </is>
      </c>
      <c r="B363" t="inlineStr">
        <is>
          <t>83662-D-1</t>
        </is>
      </c>
      <c r="C363" t="inlineStr">
        <is>
          <t>GB6067136</t>
        </is>
      </c>
      <c r="D363" s="4" t="n">
        <v>390</v>
      </c>
      <c r="E363" s="5" t="n">
        <v>46276</v>
      </c>
      <c r="F363" s="5" t="n">
        <v>46281</v>
      </c>
      <c r="G363">
        <f>MAX(1,F363-E363)</f>
        <v/>
      </c>
      <c r="H363" s="4">
        <f>D363*G363</f>
        <v/>
      </c>
      <c r="I363">
        <f>IF(TODAY()&lt;E363,"À venir",IF(TODAY()&lt;F363,"En cours","Terminée"))</f>
        <v/>
      </c>
      <c r="J363" t="inlineStr">
        <is>
          <t>WhatsApp</t>
        </is>
      </c>
      <c r="K363" t="inlineStr">
        <is>
          <t>Terminée</t>
        </is>
      </c>
    </row>
    <row r="364">
      <c r="A364" t="inlineStr">
        <is>
          <t>L-00363</t>
        </is>
      </c>
      <c r="B364" t="inlineStr">
        <is>
          <t>96667-D-1</t>
        </is>
      </c>
      <c r="C364" t="inlineStr">
        <is>
          <t>CD516136</t>
        </is>
      </c>
      <c r="D364" s="4" t="n">
        <v>900</v>
      </c>
      <c r="E364" s="5" t="n">
        <v>46276</v>
      </c>
      <c r="F364" s="5" t="n">
        <v>46277</v>
      </c>
      <c r="G364">
        <f>MAX(1,F364-E364)</f>
        <v/>
      </c>
      <c r="H364" s="4">
        <f>D364*G364</f>
        <v/>
      </c>
      <c r="I364">
        <f>IF(TODAY()&lt;E364,"À venir",IF(TODAY()&lt;F364,"En cours","Terminée"))</f>
        <v/>
      </c>
      <c r="J364" t="inlineStr">
        <is>
          <t>WhatsApp</t>
        </is>
      </c>
      <c r="K364" t="inlineStr">
        <is>
          <t>Terminée</t>
        </is>
      </c>
    </row>
    <row r="365">
      <c r="A365" t="inlineStr">
        <is>
          <t>L-00364</t>
        </is>
      </c>
      <c r="B365" t="inlineStr">
        <is>
          <t>97018-A-1</t>
        </is>
      </c>
      <c r="C365" t="inlineStr">
        <is>
          <t>AA411366</t>
        </is>
      </c>
      <c r="D365" s="4" t="n">
        <v>370</v>
      </c>
      <c r="E365" s="5" t="n">
        <v>46276</v>
      </c>
      <c r="F365" s="5" t="n">
        <v>46279</v>
      </c>
      <c r="G365">
        <f>MAX(1,F365-E365)</f>
        <v/>
      </c>
      <c r="H365" s="4">
        <f>D365*G365</f>
        <v/>
      </c>
      <c r="I365">
        <f>IF(TODAY()&lt;E365,"À venir",IF(TODAY()&lt;F365,"En cours","Terminée"))</f>
        <v/>
      </c>
      <c r="J365" t="inlineStr">
        <is>
          <t>WhatsApp</t>
        </is>
      </c>
      <c r="K365" t="inlineStr">
        <is>
          <t>Terminée</t>
        </is>
      </c>
    </row>
    <row r="366">
      <c r="A366" t="inlineStr">
        <is>
          <t>L-00365</t>
        </is>
      </c>
      <c r="B366" t="inlineStr">
        <is>
          <t>22080-H-1</t>
        </is>
      </c>
      <c r="C366" t="inlineStr">
        <is>
          <t>EE722487</t>
        </is>
      </c>
      <c r="D366" s="4" t="n">
        <v>320</v>
      </c>
      <c r="E366" s="5" t="n">
        <v>46277</v>
      </c>
      <c r="F366" s="5" t="n">
        <v>46278</v>
      </c>
      <c r="G366">
        <f>MAX(1,F366-E366)</f>
        <v/>
      </c>
      <c r="H366" s="4">
        <f>D366*G366</f>
        <v/>
      </c>
      <c r="I366">
        <f>IF(TODAY()&lt;E366,"À venir",IF(TODAY()&lt;F366,"En cours","Terminée"))</f>
        <v/>
      </c>
      <c r="J366" t="inlineStr">
        <is>
          <t>WhatsApp</t>
        </is>
      </c>
      <c r="K366" t="inlineStr">
        <is>
          <t>Terminée</t>
        </is>
      </c>
    </row>
    <row r="367">
      <c r="A367" t="inlineStr">
        <is>
          <t>L-00366</t>
        </is>
      </c>
      <c r="B367" t="inlineStr">
        <is>
          <t>75329-D-1</t>
        </is>
      </c>
      <c r="C367" t="inlineStr">
        <is>
          <t>AD526949</t>
        </is>
      </c>
      <c r="D367" s="4" t="n">
        <v>510</v>
      </c>
      <c r="E367" s="5" t="n">
        <v>46277</v>
      </c>
      <c r="F367" s="5" t="n">
        <v>46281</v>
      </c>
      <c r="G367">
        <f>MAX(1,F367-E367)</f>
        <v/>
      </c>
      <c r="H367" s="4">
        <f>D367*G367</f>
        <v/>
      </c>
      <c r="I367">
        <f>IF(TODAY()&lt;E367,"À venir",IF(TODAY()&lt;F367,"En cours","Terminée"))</f>
        <v/>
      </c>
      <c r="J367" t="inlineStr">
        <is>
          <t>Booking.com</t>
        </is>
      </c>
      <c r="K367" t="inlineStr">
        <is>
          <t>Terminée</t>
        </is>
      </c>
    </row>
    <row r="368">
      <c r="A368" t="inlineStr">
        <is>
          <t>L-00367</t>
        </is>
      </c>
      <c r="B368" t="inlineStr">
        <is>
          <t>36193-W-1</t>
        </is>
      </c>
      <c r="C368" t="inlineStr">
        <is>
          <t>G8958792</t>
        </is>
      </c>
      <c r="D368" s="4" t="n">
        <v>460</v>
      </c>
      <c r="E368" s="5" t="n">
        <v>46278</v>
      </c>
      <c r="F368" s="5" t="n">
        <v>46280</v>
      </c>
      <c r="G368">
        <f>MAX(1,F368-E368)</f>
        <v/>
      </c>
      <c r="H368" s="4">
        <f>D368*G368</f>
        <v/>
      </c>
      <c r="I368">
        <f>IF(TODAY()&lt;E368,"À venir",IF(TODAY()&lt;F368,"En cours","Terminée"))</f>
        <v/>
      </c>
      <c r="J368" t="inlineStr">
        <is>
          <t>Comptoir</t>
        </is>
      </c>
      <c r="K368" t="inlineStr">
        <is>
          <t>Terminée</t>
        </is>
      </c>
    </row>
    <row r="369">
      <c r="A369" t="inlineStr">
        <is>
          <t>L-00368</t>
        </is>
      </c>
      <c r="B369" t="inlineStr">
        <is>
          <t>54616-W-1</t>
        </is>
      </c>
      <c r="C369" t="inlineStr">
        <is>
          <t>CD836465</t>
        </is>
      </c>
      <c r="D369" s="4" t="n">
        <v>200</v>
      </c>
      <c r="E369" s="5" t="n">
        <v>46278</v>
      </c>
      <c r="F369" s="5" t="n">
        <v>46280</v>
      </c>
      <c r="G369">
        <f>MAX(1,F369-E369)</f>
        <v/>
      </c>
      <c r="H369" s="4">
        <f>D369*G369</f>
        <v/>
      </c>
      <c r="I369">
        <f>IF(TODAY()&lt;E369,"À venir",IF(TODAY()&lt;F369,"En cours","Terminée"))</f>
        <v/>
      </c>
      <c r="J369" t="inlineStr">
        <is>
          <t>WhatsApp</t>
        </is>
      </c>
      <c r="K369" t="inlineStr">
        <is>
          <t>Terminée</t>
        </is>
      </c>
    </row>
    <row r="370">
      <c r="A370" t="inlineStr">
        <is>
          <t>L-00369</t>
        </is>
      </c>
      <c r="B370" t="inlineStr">
        <is>
          <t>62064-H-1</t>
        </is>
      </c>
      <c r="C370" t="inlineStr">
        <is>
          <t>AD633832</t>
        </is>
      </c>
      <c r="D370" s="4" t="n">
        <v>320</v>
      </c>
      <c r="E370" s="5" t="n">
        <v>46278</v>
      </c>
      <c r="F370" s="5" t="n">
        <v>46283</v>
      </c>
      <c r="G370">
        <f>MAX(1,F370-E370)</f>
        <v/>
      </c>
      <c r="H370" s="4">
        <f>D370*G370</f>
        <v/>
      </c>
      <c r="I370">
        <f>IF(TODAY()&lt;E370,"À venir",IF(TODAY()&lt;F370,"En cours","Terminée"))</f>
        <v/>
      </c>
      <c r="J370" t="inlineStr">
        <is>
          <t>Instagram</t>
        </is>
      </c>
      <c r="K370" t="inlineStr">
        <is>
          <t>Terminée</t>
        </is>
      </c>
    </row>
    <row r="371">
      <c r="A371" t="inlineStr">
        <is>
          <t>L-00370</t>
        </is>
      </c>
      <c r="B371" t="inlineStr">
        <is>
          <t>71994-D-1</t>
        </is>
      </c>
      <c r="C371" t="inlineStr">
        <is>
          <t>G8781893</t>
        </is>
      </c>
      <c r="D371" s="4" t="n">
        <v>590</v>
      </c>
      <c r="E371" s="5" t="n">
        <v>46278</v>
      </c>
      <c r="F371" s="5" t="n">
        <v>46283</v>
      </c>
      <c r="G371">
        <f>MAX(1,F371-E371)</f>
        <v/>
      </c>
      <c r="H371" s="4">
        <f>D371*G371</f>
        <v/>
      </c>
      <c r="I371">
        <f>IF(TODAY()&lt;E371,"À venir",IF(TODAY()&lt;F371,"En cours","Terminée"))</f>
        <v/>
      </c>
      <c r="J371" t="inlineStr">
        <is>
          <t>Site web</t>
        </is>
      </c>
      <c r="K371" t="inlineStr">
        <is>
          <t>Terminée</t>
        </is>
      </c>
    </row>
    <row r="372">
      <c r="A372" t="inlineStr">
        <is>
          <t>L-00371</t>
        </is>
      </c>
      <c r="B372" t="inlineStr">
        <is>
          <t>76897-B-1</t>
        </is>
      </c>
      <c r="C372" t="inlineStr">
        <is>
          <t>A4460128</t>
        </is>
      </c>
      <c r="D372" s="4" t="n">
        <v>510</v>
      </c>
      <c r="E372" s="5" t="n">
        <v>46278</v>
      </c>
      <c r="F372" s="5" t="n">
        <v>46285</v>
      </c>
      <c r="G372">
        <f>MAX(1,F372-E372)</f>
        <v/>
      </c>
      <c r="H372" s="4">
        <f>D372*G372</f>
        <v/>
      </c>
      <c r="I372">
        <f>IF(TODAY()&lt;E372,"À venir",IF(TODAY()&lt;F372,"En cours","Terminée"))</f>
        <v/>
      </c>
      <c r="J372" t="inlineStr">
        <is>
          <t>Facebook</t>
        </is>
      </c>
      <c r="K372" t="inlineStr">
        <is>
          <t>Terminée</t>
        </is>
      </c>
    </row>
    <row r="373">
      <c r="A373" t="inlineStr">
        <is>
          <t>L-00372</t>
        </is>
      </c>
      <c r="B373" t="inlineStr">
        <is>
          <t>83373-B-1</t>
        </is>
      </c>
      <c r="C373" t="inlineStr">
        <is>
          <t>CD176711</t>
        </is>
      </c>
      <c r="D373" s="4" t="n">
        <v>280</v>
      </c>
      <c r="E373" s="5" t="n">
        <v>46278</v>
      </c>
      <c r="F373" s="5" t="n">
        <v>46281</v>
      </c>
      <c r="G373">
        <f>MAX(1,F373-E373)</f>
        <v/>
      </c>
      <c r="H373" s="4">
        <f>D373*G373</f>
        <v/>
      </c>
      <c r="I373">
        <f>IF(TODAY()&lt;E373,"À venir",IF(TODAY()&lt;F373,"En cours","Terminée"))</f>
        <v/>
      </c>
      <c r="J373" t="inlineStr">
        <is>
          <t>Facebook</t>
        </is>
      </c>
      <c r="K373" t="inlineStr">
        <is>
          <t>Terminée</t>
        </is>
      </c>
    </row>
    <row r="374">
      <c r="A374" t="inlineStr">
        <is>
          <t>L-00373</t>
        </is>
      </c>
      <c r="B374" t="inlineStr">
        <is>
          <t>96667-D-1</t>
        </is>
      </c>
      <c r="C374" t="inlineStr">
        <is>
          <t>G1948412</t>
        </is>
      </c>
      <c r="D374" s="4" t="n">
        <v>890</v>
      </c>
      <c r="E374" s="5" t="n">
        <v>46278</v>
      </c>
      <c r="F374" s="5" t="n">
        <v>46282</v>
      </c>
      <c r="G374">
        <f>MAX(1,F374-E374)</f>
        <v/>
      </c>
      <c r="H374" s="4">
        <f>D374*G374</f>
        <v/>
      </c>
      <c r="I374">
        <f>IF(TODAY()&lt;E374,"À venir",IF(TODAY()&lt;F374,"En cours","Terminée"))</f>
        <v/>
      </c>
      <c r="J374" t="inlineStr">
        <is>
          <t>WhatsApp</t>
        </is>
      </c>
      <c r="K374" t="inlineStr">
        <is>
          <t>Terminée</t>
        </is>
      </c>
    </row>
    <row r="375">
      <c r="A375" t="inlineStr">
        <is>
          <t>L-00374</t>
        </is>
      </c>
      <c r="B375" t="inlineStr">
        <is>
          <t>22080-H-1</t>
        </is>
      </c>
      <c r="C375" t="inlineStr">
        <is>
          <t>CD516136</t>
        </is>
      </c>
      <c r="D375" s="4" t="n">
        <v>320</v>
      </c>
      <c r="E375" s="5" t="n">
        <v>46279</v>
      </c>
      <c r="F375" s="5" t="n">
        <v>46283</v>
      </c>
      <c r="G375">
        <f>MAX(1,F375-E375)</f>
        <v/>
      </c>
      <c r="H375" s="4">
        <f>D375*G375</f>
        <v/>
      </c>
      <c r="I375">
        <f>IF(TODAY()&lt;E375,"À venir",IF(TODAY()&lt;F375,"En cours","Terminée"))</f>
        <v/>
      </c>
      <c r="J375" t="inlineStr">
        <is>
          <t>Téléphone</t>
        </is>
      </c>
      <c r="K375" t="inlineStr">
        <is>
          <t>Terminée</t>
        </is>
      </c>
    </row>
    <row r="376">
      <c r="A376" t="inlineStr">
        <is>
          <t>L-00375</t>
        </is>
      </c>
      <c r="B376" t="inlineStr">
        <is>
          <t>25835-W-1</t>
        </is>
      </c>
      <c r="C376" t="inlineStr">
        <is>
          <t>G1943814</t>
        </is>
      </c>
      <c r="D376" s="4" t="n">
        <v>530</v>
      </c>
      <c r="E376" s="5" t="n">
        <v>46279</v>
      </c>
      <c r="F376" s="5" t="n">
        <v>46282</v>
      </c>
      <c r="G376">
        <f>MAX(1,F376-E376)</f>
        <v/>
      </c>
      <c r="H376" s="4">
        <f>D376*G376</f>
        <v/>
      </c>
      <c r="I376">
        <f>IF(TODAY()&lt;E376,"À venir",IF(TODAY()&lt;F376,"En cours","Terminée"))</f>
        <v/>
      </c>
      <c r="J376" t="inlineStr">
        <is>
          <t>WhatsApp</t>
        </is>
      </c>
      <c r="K376" t="inlineStr">
        <is>
          <t>Terminée</t>
        </is>
      </c>
    </row>
    <row r="377">
      <c r="A377" t="inlineStr">
        <is>
          <t>L-00376</t>
        </is>
      </c>
      <c r="B377" t="inlineStr">
        <is>
          <t>69873-A-1</t>
        </is>
      </c>
      <c r="C377" t="inlineStr">
        <is>
          <t>AE888280</t>
        </is>
      </c>
      <c r="D377" s="4" t="n">
        <v>330</v>
      </c>
      <c r="E377" s="5" t="n">
        <v>46279</v>
      </c>
      <c r="F377" s="5" t="n">
        <v>46280</v>
      </c>
      <c r="G377">
        <f>MAX(1,F377-E377)</f>
        <v/>
      </c>
      <c r="H377" s="4">
        <f>D377*G377</f>
        <v/>
      </c>
      <c r="I377">
        <f>IF(TODAY()&lt;E377,"À venir",IF(TODAY()&lt;F377,"En cours","Terminée"))</f>
        <v/>
      </c>
      <c r="J377" t="inlineStr">
        <is>
          <t>Booking.com</t>
        </is>
      </c>
      <c r="K377" t="inlineStr">
        <is>
          <t>Terminée</t>
        </is>
      </c>
    </row>
    <row r="378">
      <c r="A378" t="inlineStr">
        <is>
          <t>L-00377</t>
        </is>
      </c>
      <c r="B378" t="inlineStr">
        <is>
          <t>71302-W-1</t>
        </is>
      </c>
      <c r="C378" t="inlineStr">
        <is>
          <t>AD107657</t>
        </is>
      </c>
      <c r="D378" s="4" t="n">
        <v>390</v>
      </c>
      <c r="E378" s="5" t="n">
        <v>46279</v>
      </c>
      <c r="F378" s="5" t="n">
        <v>46282</v>
      </c>
      <c r="G378">
        <f>MAX(1,F378-E378)</f>
        <v/>
      </c>
      <c r="H378" s="4">
        <f>D378*G378</f>
        <v/>
      </c>
      <c r="I378">
        <f>IF(TODAY()&lt;E378,"À venir",IF(TODAY()&lt;F378,"En cours","Terminée"))</f>
        <v/>
      </c>
      <c r="J378" t="inlineStr">
        <is>
          <t>Instagram</t>
        </is>
      </c>
      <c r="K378" t="inlineStr">
        <is>
          <t>Terminée</t>
        </is>
      </c>
    </row>
    <row r="379">
      <c r="A379" t="inlineStr">
        <is>
          <t>L-00378</t>
        </is>
      </c>
      <c r="B379" t="inlineStr">
        <is>
          <t>74343-B-1</t>
        </is>
      </c>
      <c r="C379" t="inlineStr">
        <is>
          <t>BE813994</t>
        </is>
      </c>
      <c r="D379" s="4" t="n">
        <v>250</v>
      </c>
      <c r="E379" s="5" t="n">
        <v>46279</v>
      </c>
      <c r="F379" s="5" t="n">
        <v>46281</v>
      </c>
      <c r="G379">
        <f>MAX(1,F379-E379)</f>
        <v/>
      </c>
      <c r="H379" s="4">
        <f>D379*G379</f>
        <v/>
      </c>
      <c r="I379">
        <f>IF(TODAY()&lt;E379,"À venir",IF(TODAY()&lt;F379,"En cours","Terminée"))</f>
        <v/>
      </c>
      <c r="J379" t="inlineStr">
        <is>
          <t>Instagram</t>
        </is>
      </c>
      <c r="K379" t="inlineStr">
        <is>
          <t>Terminée</t>
        </is>
      </c>
    </row>
    <row r="380">
      <c r="A380" t="inlineStr">
        <is>
          <t>L-00379</t>
        </is>
      </c>
      <c r="B380" t="inlineStr">
        <is>
          <t>84923-D-1</t>
        </is>
      </c>
      <c r="C380" t="inlineStr">
        <is>
          <t>EE109907</t>
        </is>
      </c>
      <c r="D380" s="4" t="n">
        <v>640</v>
      </c>
      <c r="E380" s="5" t="n">
        <v>46279</v>
      </c>
      <c r="F380" s="5" t="n">
        <v>46281</v>
      </c>
      <c r="G380">
        <f>MAX(1,F380-E380)</f>
        <v/>
      </c>
      <c r="H380" s="4">
        <f>D380*G380</f>
        <v/>
      </c>
      <c r="I380">
        <f>IF(TODAY()&lt;E380,"À venir",IF(TODAY()&lt;F380,"En cours","Terminée"))</f>
        <v/>
      </c>
      <c r="J380" t="inlineStr">
        <is>
          <t>Téléphone</t>
        </is>
      </c>
      <c r="K380" t="inlineStr">
        <is>
          <t>Terminée</t>
        </is>
      </c>
    </row>
    <row r="381">
      <c r="A381" t="inlineStr">
        <is>
          <t>L-00380</t>
        </is>
      </c>
      <c r="B381" t="inlineStr">
        <is>
          <t>85684-A-1</t>
        </is>
      </c>
      <c r="C381" t="inlineStr">
        <is>
          <t>AE913717</t>
        </is>
      </c>
      <c r="D381" s="4" t="n">
        <v>250</v>
      </c>
      <c r="E381" s="5" t="n">
        <v>46279</v>
      </c>
      <c r="F381" s="5" t="n">
        <v>46280</v>
      </c>
      <c r="G381">
        <f>MAX(1,F381-E381)</f>
        <v/>
      </c>
      <c r="H381" s="4">
        <f>D381*G381</f>
        <v/>
      </c>
      <c r="I381">
        <f>IF(TODAY()&lt;E381,"À venir",IF(TODAY()&lt;F381,"En cours","Terminée"))</f>
        <v/>
      </c>
      <c r="J381" t="inlineStr">
        <is>
          <t>WhatsApp</t>
        </is>
      </c>
      <c r="K381" t="inlineStr">
        <is>
          <t>Terminée</t>
        </is>
      </c>
    </row>
    <row r="382">
      <c r="A382" t="inlineStr">
        <is>
          <t>L-00381</t>
        </is>
      </c>
      <c r="B382" t="inlineStr">
        <is>
          <t>88778-A-1</t>
        </is>
      </c>
      <c r="C382" t="inlineStr">
        <is>
          <t>BK859626</t>
        </is>
      </c>
      <c r="D382" s="4" t="n">
        <v>230</v>
      </c>
      <c r="E382" s="5" t="n">
        <v>46279</v>
      </c>
      <c r="F382" s="5" t="n">
        <v>46284</v>
      </c>
      <c r="G382">
        <f>MAX(1,F382-E382)</f>
        <v/>
      </c>
      <c r="H382" s="4">
        <f>D382*G382</f>
        <v/>
      </c>
      <c r="I382">
        <f>IF(TODAY()&lt;E382,"À venir",IF(TODAY()&lt;F382,"En cours","Terminée"))</f>
        <v/>
      </c>
      <c r="J382" t="inlineStr">
        <is>
          <t>Comptoir</t>
        </is>
      </c>
      <c r="K382" t="inlineStr">
        <is>
          <t>Terminée</t>
        </is>
      </c>
    </row>
    <row r="383">
      <c r="A383" t="inlineStr">
        <is>
          <t>L-00382</t>
        </is>
      </c>
      <c r="B383" t="inlineStr">
        <is>
          <t>94626-B-1</t>
        </is>
      </c>
      <c r="C383" t="inlineStr">
        <is>
          <t>EE225893</t>
        </is>
      </c>
      <c r="D383" s="4" t="n">
        <v>980</v>
      </c>
      <c r="E383" s="5" t="n">
        <v>46279</v>
      </c>
      <c r="F383" s="5" t="n">
        <v>46282</v>
      </c>
      <c r="G383">
        <f>MAX(1,F383-E383)</f>
        <v/>
      </c>
      <c r="H383" s="4">
        <f>D383*G383</f>
        <v/>
      </c>
      <c r="I383">
        <f>IF(TODAY()&lt;E383,"À venir",IF(TODAY()&lt;F383,"En cours","Terminée"))</f>
        <v/>
      </c>
      <c r="J383" t="inlineStr">
        <is>
          <t>WhatsApp</t>
        </is>
      </c>
      <c r="K383" t="inlineStr">
        <is>
          <t>Terminée</t>
        </is>
      </c>
    </row>
    <row r="384">
      <c r="A384" t="inlineStr">
        <is>
          <t>L-00383</t>
        </is>
      </c>
      <c r="B384" t="inlineStr">
        <is>
          <t>95936-H-1</t>
        </is>
      </c>
      <c r="C384" t="inlineStr">
        <is>
          <t>DA195125</t>
        </is>
      </c>
      <c r="D384" s="4" t="n">
        <v>430</v>
      </c>
      <c r="E384" s="5" t="n">
        <v>46279</v>
      </c>
      <c r="F384" s="5" t="n">
        <v>46284</v>
      </c>
      <c r="G384">
        <f>MAX(1,F384-E384)</f>
        <v/>
      </c>
      <c r="H384" s="4">
        <f>D384*G384</f>
        <v/>
      </c>
      <c r="I384">
        <f>IF(TODAY()&lt;E384,"À venir",IF(TODAY()&lt;F384,"En cours","Terminée"))</f>
        <v/>
      </c>
      <c r="J384" t="inlineStr">
        <is>
          <t>WhatsApp</t>
        </is>
      </c>
      <c r="K384" t="inlineStr">
        <is>
          <t>Terminée</t>
        </is>
      </c>
    </row>
    <row r="385">
      <c r="A385" t="inlineStr">
        <is>
          <t>L-00384</t>
        </is>
      </c>
      <c r="B385" t="inlineStr">
        <is>
          <t>22394-A-1</t>
        </is>
      </c>
      <c r="C385" t="inlineStr">
        <is>
          <t>AB6448905</t>
        </is>
      </c>
      <c r="D385" s="4" t="n">
        <v>340</v>
      </c>
      <c r="E385" s="5" t="n">
        <v>46280</v>
      </c>
      <c r="F385" s="5" t="n">
        <v>46283</v>
      </c>
      <c r="G385">
        <f>MAX(1,F385-E385)</f>
        <v/>
      </c>
      <c r="H385" s="4">
        <f>D385*G385</f>
        <v/>
      </c>
      <c r="I385">
        <f>IF(TODAY()&lt;E385,"À venir",IF(TODAY()&lt;F385,"En cours","Terminée"))</f>
        <v/>
      </c>
      <c r="J385" t="inlineStr">
        <is>
          <t>WhatsApp</t>
        </is>
      </c>
      <c r="K385" t="inlineStr">
        <is>
          <t>Terminée</t>
        </is>
      </c>
    </row>
    <row r="386">
      <c r="A386" t="inlineStr">
        <is>
          <t>L-00385</t>
        </is>
      </c>
      <c r="B386" t="inlineStr">
        <is>
          <t>47649-D-1</t>
        </is>
      </c>
      <c r="C386" t="inlineStr">
        <is>
          <t>AE653640</t>
        </is>
      </c>
      <c r="D386" s="4" t="n">
        <v>270</v>
      </c>
      <c r="E386" s="5" t="n">
        <v>46280</v>
      </c>
      <c r="F386" s="5" t="n">
        <v>46284</v>
      </c>
      <c r="G386">
        <f>MAX(1,F386-E386)</f>
        <v/>
      </c>
      <c r="H386" s="4">
        <f>D386*G386</f>
        <v/>
      </c>
      <c r="I386">
        <f>IF(TODAY()&lt;E386,"À venir",IF(TODAY()&lt;F386,"En cours","Terminée"))</f>
        <v/>
      </c>
      <c r="J386" t="inlineStr">
        <is>
          <t>WhatsApp</t>
        </is>
      </c>
      <c r="K386" t="inlineStr">
        <is>
          <t>Terminée</t>
        </is>
      </c>
    </row>
    <row r="387">
      <c r="A387" t="inlineStr">
        <is>
          <t>L-00386</t>
        </is>
      </c>
      <c r="B387" t="inlineStr">
        <is>
          <t>72769-D-1</t>
        </is>
      </c>
      <c r="C387" t="inlineStr">
        <is>
          <t>G4386520</t>
        </is>
      </c>
      <c r="D387" s="4" t="n">
        <v>200</v>
      </c>
      <c r="E387" s="5" t="n">
        <v>46280</v>
      </c>
      <c r="F387" s="5" t="n">
        <v>46282</v>
      </c>
      <c r="G387">
        <f>MAX(1,F387-E387)</f>
        <v/>
      </c>
      <c r="H387" s="4">
        <f>D387*G387</f>
        <v/>
      </c>
      <c r="I387">
        <f>IF(TODAY()&lt;E387,"À venir",IF(TODAY()&lt;F387,"En cours","Terminée"))</f>
        <v/>
      </c>
      <c r="J387" t="inlineStr">
        <is>
          <t>WhatsApp</t>
        </is>
      </c>
      <c r="K387" t="inlineStr">
        <is>
          <t>Terminée</t>
        </is>
      </c>
    </row>
    <row r="388">
      <c r="A388" t="inlineStr">
        <is>
          <t>L-00387</t>
        </is>
      </c>
      <c r="B388" t="inlineStr">
        <is>
          <t>81442-B-1</t>
        </is>
      </c>
      <c r="C388" t="inlineStr">
        <is>
          <t>CD516136</t>
        </is>
      </c>
      <c r="D388" s="4" t="n">
        <v>440</v>
      </c>
      <c r="E388" s="5" t="n">
        <v>46280</v>
      </c>
      <c r="F388" s="5" t="n">
        <v>46285</v>
      </c>
      <c r="G388">
        <f>MAX(1,F388-E388)</f>
        <v/>
      </c>
      <c r="H388" s="4">
        <f>D388*G388</f>
        <v/>
      </c>
      <c r="I388">
        <f>IF(TODAY()&lt;E388,"À venir",IF(TODAY()&lt;F388,"En cours","Terminée"))</f>
        <v/>
      </c>
      <c r="J388" t="inlineStr">
        <is>
          <t>Téléphone</t>
        </is>
      </c>
      <c r="K388" t="inlineStr">
        <is>
          <t>Terminée</t>
        </is>
      </c>
    </row>
    <row r="389">
      <c r="A389" t="inlineStr">
        <is>
          <t>L-00388</t>
        </is>
      </c>
      <c r="B389" t="inlineStr">
        <is>
          <t>85272-B-1</t>
        </is>
      </c>
      <c r="C389" t="inlineStr">
        <is>
          <t>BK346421</t>
        </is>
      </c>
      <c r="D389" s="4" t="n">
        <v>490</v>
      </c>
      <c r="E389" s="5" t="n">
        <v>46280</v>
      </c>
      <c r="F389" s="5" t="n">
        <v>46282</v>
      </c>
      <c r="G389">
        <f>MAX(1,F389-E389)</f>
        <v/>
      </c>
      <c r="H389" s="4">
        <f>D389*G389</f>
        <v/>
      </c>
      <c r="I389">
        <f>IF(TODAY()&lt;E389,"À venir",IF(TODAY()&lt;F389,"En cours","Terminée"))</f>
        <v/>
      </c>
      <c r="J389" t="inlineStr">
        <is>
          <t>Instagram</t>
        </is>
      </c>
      <c r="K389" t="inlineStr">
        <is>
          <t>Terminée</t>
        </is>
      </c>
    </row>
    <row r="390">
      <c r="A390" t="inlineStr">
        <is>
          <t>L-00389</t>
        </is>
      </c>
      <c r="B390" t="inlineStr">
        <is>
          <t>21066-H-1</t>
        </is>
      </c>
      <c r="C390" t="inlineStr">
        <is>
          <t>G1943814</t>
        </is>
      </c>
      <c r="D390" s="4" t="n">
        <v>500</v>
      </c>
      <c r="E390" s="5" t="n">
        <v>46281</v>
      </c>
      <c r="F390" s="5" t="n">
        <v>46283</v>
      </c>
      <c r="G390">
        <f>MAX(1,F390-E390)</f>
        <v/>
      </c>
      <c r="H390" s="4">
        <f>D390*G390</f>
        <v/>
      </c>
      <c r="I390">
        <f>IF(TODAY()&lt;E390,"À venir",IF(TODAY()&lt;F390,"En cours","Terminée"))</f>
        <v/>
      </c>
      <c r="J390" t="inlineStr">
        <is>
          <t>WhatsApp</t>
        </is>
      </c>
      <c r="K390" t="inlineStr">
        <is>
          <t>Terminée</t>
        </is>
      </c>
    </row>
    <row r="391">
      <c r="A391" t="inlineStr">
        <is>
          <t>L-00390</t>
        </is>
      </c>
      <c r="B391" t="inlineStr">
        <is>
          <t>35623-W-1</t>
        </is>
      </c>
      <c r="C391" t="inlineStr">
        <is>
          <t>BK363589</t>
        </is>
      </c>
      <c r="D391" s="4" t="n">
        <v>1160</v>
      </c>
      <c r="E391" s="5" t="n">
        <v>46281</v>
      </c>
      <c r="F391" s="5" t="n">
        <v>46285</v>
      </c>
      <c r="G391">
        <f>MAX(1,F391-E391)</f>
        <v/>
      </c>
      <c r="H391" s="4">
        <f>D391*G391</f>
        <v/>
      </c>
      <c r="I391">
        <f>IF(TODAY()&lt;E391,"À venir",IF(TODAY()&lt;F391,"En cours","Terminée"))</f>
        <v/>
      </c>
      <c r="J391" t="inlineStr">
        <is>
          <t>Instagram</t>
        </is>
      </c>
      <c r="K391" t="inlineStr">
        <is>
          <t>Terminée</t>
        </is>
      </c>
    </row>
    <row r="392">
      <c r="A392" t="inlineStr">
        <is>
          <t>L-00391</t>
        </is>
      </c>
      <c r="B392" t="inlineStr">
        <is>
          <t>36193-W-1</t>
        </is>
      </c>
      <c r="C392" t="inlineStr">
        <is>
          <t>AD835232</t>
        </is>
      </c>
      <c r="D392" s="4" t="n">
        <v>360</v>
      </c>
      <c r="E392" s="5" t="n">
        <v>46281</v>
      </c>
      <c r="F392" s="5" t="n">
        <v>46291</v>
      </c>
      <c r="G392">
        <f>MAX(1,F392-E392)</f>
        <v/>
      </c>
      <c r="H392" s="4">
        <f>D392*G392</f>
        <v/>
      </c>
      <c r="I392">
        <f>IF(TODAY()&lt;E392,"À venir",IF(TODAY()&lt;F392,"En cours","Terminée"))</f>
        <v/>
      </c>
      <c r="J392" t="inlineStr">
        <is>
          <t>WhatsApp</t>
        </is>
      </c>
      <c r="K392" t="inlineStr">
        <is>
          <t>En cours</t>
        </is>
      </c>
    </row>
    <row r="393">
      <c r="A393" t="inlineStr">
        <is>
          <t>L-00392</t>
        </is>
      </c>
      <c r="B393" t="inlineStr">
        <is>
          <t>49965-H-1</t>
        </is>
      </c>
      <c r="C393" t="inlineStr">
        <is>
          <t>G5643699</t>
        </is>
      </c>
      <c r="D393" s="4" t="n">
        <v>920</v>
      </c>
      <c r="E393" s="5" t="n">
        <v>46281</v>
      </c>
      <c r="F393" s="5" t="n">
        <v>46284</v>
      </c>
      <c r="G393">
        <f>MAX(1,F393-E393)</f>
        <v/>
      </c>
      <c r="H393" s="4">
        <f>D393*G393</f>
        <v/>
      </c>
      <c r="I393">
        <f>IF(TODAY()&lt;E393,"À venir",IF(TODAY()&lt;F393,"En cours","Terminée"))</f>
        <v/>
      </c>
      <c r="J393" t="inlineStr">
        <is>
          <t>WhatsApp</t>
        </is>
      </c>
      <c r="K393" t="inlineStr">
        <is>
          <t>Terminée</t>
        </is>
      </c>
    </row>
    <row r="394">
      <c r="A394" t="inlineStr">
        <is>
          <t>L-00393</t>
        </is>
      </c>
      <c r="B394" t="inlineStr">
        <is>
          <t>54616-W-1</t>
        </is>
      </c>
      <c r="C394" t="inlineStr">
        <is>
          <t>CD176711</t>
        </is>
      </c>
      <c r="D394" s="4" t="n">
        <v>180</v>
      </c>
      <c r="E394" s="5" t="n">
        <v>46281</v>
      </c>
      <c r="F394" s="5" t="n">
        <v>46283</v>
      </c>
      <c r="G394">
        <f>MAX(1,F394-E394)</f>
        <v/>
      </c>
      <c r="H394" s="4">
        <f>D394*G394</f>
        <v/>
      </c>
      <c r="I394">
        <f>IF(TODAY()&lt;E394,"À venir",IF(TODAY()&lt;F394,"En cours","Terminée"))</f>
        <v/>
      </c>
      <c r="J394" t="inlineStr">
        <is>
          <t>WhatsApp</t>
        </is>
      </c>
      <c r="K394" t="inlineStr">
        <is>
          <t>Terminée</t>
        </is>
      </c>
    </row>
    <row r="395">
      <c r="A395" t="inlineStr">
        <is>
          <t>L-00394</t>
        </is>
      </c>
      <c r="B395" t="inlineStr">
        <is>
          <t>69873-A-1</t>
        </is>
      </c>
      <c r="C395" t="inlineStr">
        <is>
          <t>AE653640</t>
        </is>
      </c>
      <c r="D395" s="4" t="n">
        <v>280</v>
      </c>
      <c r="E395" s="5" t="n">
        <v>46281</v>
      </c>
      <c r="F395" s="5" t="n">
        <v>46286</v>
      </c>
      <c r="G395">
        <f>MAX(1,F395-E395)</f>
        <v/>
      </c>
      <c r="H395" s="4">
        <f>D395*G395</f>
        <v/>
      </c>
      <c r="I395">
        <f>IF(TODAY()&lt;E395,"À venir",IF(TODAY()&lt;F395,"En cours","Terminée"))</f>
        <v/>
      </c>
      <c r="J395" t="inlineStr">
        <is>
          <t>Téléphone</t>
        </is>
      </c>
      <c r="K395" t="inlineStr">
        <is>
          <t>Terminée</t>
        </is>
      </c>
    </row>
    <row r="396">
      <c r="A396" t="inlineStr">
        <is>
          <t>L-00395</t>
        </is>
      </c>
      <c r="B396" t="inlineStr">
        <is>
          <t>77893-H-1</t>
        </is>
      </c>
      <c r="C396" t="inlineStr">
        <is>
          <t>BK346421</t>
        </is>
      </c>
      <c r="D396" s="4" t="n">
        <v>240</v>
      </c>
      <c r="E396" s="5" t="n">
        <v>46281</v>
      </c>
      <c r="F396" s="5" t="n">
        <v>46282</v>
      </c>
      <c r="G396">
        <f>MAX(1,F396-E396)</f>
        <v/>
      </c>
      <c r="H396" s="4">
        <f>D396*G396</f>
        <v/>
      </c>
      <c r="I396">
        <f>IF(TODAY()&lt;E396,"À venir",IF(TODAY()&lt;F396,"En cours","Terminée"))</f>
        <v/>
      </c>
      <c r="J396" t="inlineStr">
        <is>
          <t>WhatsApp</t>
        </is>
      </c>
      <c r="K396" t="inlineStr">
        <is>
          <t>Terminée</t>
        </is>
      </c>
    </row>
    <row r="397">
      <c r="A397" t="inlineStr">
        <is>
          <t>L-00396</t>
        </is>
      </c>
      <c r="B397" t="inlineStr">
        <is>
          <t>97018-A-1</t>
        </is>
      </c>
      <c r="C397" t="inlineStr">
        <is>
          <t>AD710001</t>
        </is>
      </c>
      <c r="D397" s="4" t="n">
        <v>330</v>
      </c>
      <c r="E397" s="5" t="n">
        <v>46281</v>
      </c>
      <c r="F397" s="5" t="n">
        <v>46286</v>
      </c>
      <c r="G397">
        <f>MAX(1,F397-E397)</f>
        <v/>
      </c>
      <c r="H397" s="4">
        <f>D397*G397</f>
        <v/>
      </c>
      <c r="I397">
        <f>IF(TODAY()&lt;E397,"À venir",IF(TODAY()&lt;F397,"En cours","Terminée"))</f>
        <v/>
      </c>
      <c r="J397" t="inlineStr">
        <is>
          <t>Booking.com</t>
        </is>
      </c>
      <c r="K397" t="inlineStr">
        <is>
          <t>Terminée</t>
        </is>
      </c>
    </row>
    <row r="398">
      <c r="A398" t="inlineStr">
        <is>
          <t>L-00397</t>
        </is>
      </c>
      <c r="B398" t="inlineStr">
        <is>
          <t>97618-A-1</t>
        </is>
      </c>
      <c r="C398" t="inlineStr">
        <is>
          <t>A2370932</t>
        </is>
      </c>
      <c r="D398" s="4" t="n">
        <v>380</v>
      </c>
      <c r="E398" s="5" t="n">
        <v>46281</v>
      </c>
      <c r="F398" s="5" t="n">
        <v>46288</v>
      </c>
      <c r="G398">
        <f>MAX(1,F398-E398)</f>
        <v/>
      </c>
      <c r="H398" s="4">
        <f>D398*G398</f>
        <v/>
      </c>
      <c r="I398">
        <f>IF(TODAY()&lt;E398,"À venir",IF(TODAY()&lt;F398,"En cours","Terminée"))</f>
        <v/>
      </c>
      <c r="J398" t="inlineStr">
        <is>
          <t>Instagram</t>
        </is>
      </c>
      <c r="K398" t="inlineStr">
        <is>
          <t>Terminée</t>
        </is>
      </c>
    </row>
    <row r="399">
      <c r="A399" t="inlineStr">
        <is>
          <t>L-00398</t>
        </is>
      </c>
      <c r="B399" t="inlineStr">
        <is>
          <t>33992-B-1</t>
        </is>
      </c>
      <c r="C399" t="inlineStr">
        <is>
          <t>AB6448905</t>
        </is>
      </c>
      <c r="D399" s="4" t="n">
        <v>430</v>
      </c>
      <c r="E399" s="5" t="n">
        <v>46282</v>
      </c>
      <c r="F399" s="5" t="n">
        <v>46287</v>
      </c>
      <c r="G399">
        <f>MAX(1,F399-E399)</f>
        <v/>
      </c>
      <c r="H399" s="4">
        <f>D399*G399</f>
        <v/>
      </c>
      <c r="I399">
        <f>IF(TODAY()&lt;E399,"À venir",IF(TODAY()&lt;F399,"En cours","Terminée"))</f>
        <v/>
      </c>
      <c r="J399" t="inlineStr">
        <is>
          <t>WhatsApp</t>
        </is>
      </c>
      <c r="K399" t="inlineStr">
        <is>
          <t>Terminée</t>
        </is>
      </c>
    </row>
    <row r="400">
      <c r="A400" t="inlineStr">
        <is>
          <t>L-00399</t>
        </is>
      </c>
      <c r="B400" t="inlineStr">
        <is>
          <t>69221-A-1</t>
        </is>
      </c>
      <c r="C400" t="inlineStr">
        <is>
          <t>PA6664582</t>
        </is>
      </c>
      <c r="D400" s="4" t="n">
        <v>1110</v>
      </c>
      <c r="E400" s="5" t="n">
        <v>46282</v>
      </c>
      <c r="F400" s="5" t="n">
        <v>46285</v>
      </c>
      <c r="G400">
        <f>MAX(1,F400-E400)</f>
        <v/>
      </c>
      <c r="H400" s="4">
        <f>D400*G400</f>
        <v/>
      </c>
      <c r="I400">
        <f>IF(TODAY()&lt;E400,"À venir",IF(TODAY()&lt;F400,"En cours","Terminée"))</f>
        <v/>
      </c>
      <c r="J400" t="inlineStr">
        <is>
          <t>WhatsApp</t>
        </is>
      </c>
      <c r="K400" t="inlineStr">
        <is>
          <t>Terminée</t>
        </is>
      </c>
    </row>
    <row r="401">
      <c r="A401" t="inlineStr">
        <is>
          <t>L-00400</t>
        </is>
      </c>
      <c r="B401" t="inlineStr">
        <is>
          <t>74343-B-1</t>
        </is>
      </c>
      <c r="C401" t="inlineStr">
        <is>
          <t>DA819171</t>
        </is>
      </c>
      <c r="D401" s="4" t="n">
        <v>210</v>
      </c>
      <c r="E401" s="5" t="n">
        <v>46282</v>
      </c>
      <c r="F401" s="5" t="n">
        <v>46292</v>
      </c>
      <c r="G401">
        <f>MAX(1,F401-E401)</f>
        <v/>
      </c>
      <c r="H401" s="4">
        <f>D401*G401</f>
        <v/>
      </c>
      <c r="I401">
        <f>IF(TODAY()&lt;E401,"À venir",IF(TODAY()&lt;F401,"En cours","Terminée"))</f>
        <v/>
      </c>
      <c r="J401" t="inlineStr">
        <is>
          <t>Instagram</t>
        </is>
      </c>
      <c r="K401" t="inlineStr">
        <is>
          <t>En cours</t>
        </is>
      </c>
    </row>
    <row r="402">
      <c r="A402" t="inlineStr">
        <is>
          <t>L-00401</t>
        </is>
      </c>
      <c r="B402" t="inlineStr">
        <is>
          <t>75329-D-1</t>
        </is>
      </c>
      <c r="C402" t="inlineStr">
        <is>
          <t>AE913717</t>
        </is>
      </c>
      <c r="D402" s="4" t="n">
        <v>450</v>
      </c>
      <c r="E402" s="5" t="n">
        <v>46282</v>
      </c>
      <c r="F402" s="5" t="n">
        <v>46284</v>
      </c>
      <c r="G402">
        <f>MAX(1,F402-E402)</f>
        <v/>
      </c>
      <c r="H402" s="4">
        <f>D402*G402</f>
        <v/>
      </c>
      <c r="I402">
        <f>IF(TODAY()&lt;E402,"À venir",IF(TODAY()&lt;F402,"En cours","Terminée"))</f>
        <v/>
      </c>
      <c r="J402" t="inlineStr">
        <is>
          <t>Comptoir</t>
        </is>
      </c>
      <c r="K402" t="inlineStr">
        <is>
          <t>Terminée</t>
        </is>
      </c>
    </row>
    <row r="403">
      <c r="A403" t="inlineStr">
        <is>
          <t>L-00402</t>
        </is>
      </c>
      <c r="B403" t="inlineStr">
        <is>
          <t>84923-D-1</t>
        </is>
      </c>
      <c r="C403" t="inlineStr">
        <is>
          <t>CD814227</t>
        </is>
      </c>
      <c r="D403" s="4" t="n">
        <v>590</v>
      </c>
      <c r="E403" s="5" t="n">
        <v>46282</v>
      </c>
      <c r="F403" s="5" t="n">
        <v>46284</v>
      </c>
      <c r="G403">
        <f>MAX(1,F403-E403)</f>
        <v/>
      </c>
      <c r="H403" s="4">
        <f>D403*G403</f>
        <v/>
      </c>
      <c r="I403">
        <f>IF(TODAY()&lt;E403,"À venir",IF(TODAY()&lt;F403,"En cours","Terminée"))</f>
        <v/>
      </c>
      <c r="J403" t="inlineStr">
        <is>
          <t>Instagram</t>
        </is>
      </c>
      <c r="K403" t="inlineStr">
        <is>
          <t>Terminée</t>
        </is>
      </c>
    </row>
    <row r="404">
      <c r="A404" t="inlineStr">
        <is>
          <t>L-00403</t>
        </is>
      </c>
      <c r="B404" t="inlineStr">
        <is>
          <t>85684-A-1</t>
        </is>
      </c>
      <c r="C404" t="inlineStr">
        <is>
          <t>EE722487</t>
        </is>
      </c>
      <c r="D404" s="4" t="n">
        <v>230</v>
      </c>
      <c r="E404" s="5" t="n">
        <v>46282</v>
      </c>
      <c r="F404" s="5" t="n">
        <v>46284</v>
      </c>
      <c r="G404">
        <f>MAX(1,F404-E404)</f>
        <v/>
      </c>
      <c r="H404" s="4">
        <f>D404*G404</f>
        <v/>
      </c>
      <c r="I404">
        <f>IF(TODAY()&lt;E404,"À venir",IF(TODAY()&lt;F404,"En cours","Terminée"))</f>
        <v/>
      </c>
      <c r="J404" t="inlineStr">
        <is>
          <t>Facebook</t>
        </is>
      </c>
      <c r="K404" t="inlineStr">
        <is>
          <t>Terminée</t>
        </is>
      </c>
    </row>
    <row r="405">
      <c r="A405" t="inlineStr">
        <is>
          <t>L-00404</t>
        </is>
      </c>
      <c r="B405" t="inlineStr">
        <is>
          <t>72769-D-1</t>
        </is>
      </c>
      <c r="C405" t="inlineStr">
        <is>
          <t>G4386520</t>
        </is>
      </c>
      <c r="D405" s="4" t="n">
        <v>180</v>
      </c>
      <c r="E405" s="5" t="n">
        <v>46283</v>
      </c>
      <c r="F405" s="5" t="n">
        <v>46287</v>
      </c>
      <c r="G405">
        <f>MAX(1,F405-E405)</f>
        <v/>
      </c>
      <c r="H405" s="4">
        <f>D405*G405</f>
        <v/>
      </c>
      <c r="I405">
        <f>IF(TODAY()&lt;E405,"À venir",IF(TODAY()&lt;F405,"En cours","Terminée"))</f>
        <v/>
      </c>
      <c r="J405" t="inlineStr">
        <is>
          <t>Instagram</t>
        </is>
      </c>
      <c r="K405" t="inlineStr">
        <is>
          <t>Terminée</t>
        </is>
      </c>
    </row>
    <row r="406">
      <c r="A406" t="inlineStr">
        <is>
          <t>L-00405</t>
        </is>
      </c>
      <c r="B406" t="inlineStr">
        <is>
          <t>76545-W-1</t>
        </is>
      </c>
      <c r="C406" t="inlineStr">
        <is>
          <t>A9203288</t>
        </is>
      </c>
      <c r="D406" s="4" t="n">
        <v>570</v>
      </c>
      <c r="E406" s="5" t="n">
        <v>46283</v>
      </c>
      <c r="F406" s="5" t="n">
        <v>46288</v>
      </c>
      <c r="G406">
        <f>MAX(1,F406-E406)</f>
        <v/>
      </c>
      <c r="H406" s="4">
        <f>D406*G406</f>
        <v/>
      </c>
      <c r="I406">
        <f>IF(TODAY()&lt;E406,"À venir",IF(TODAY()&lt;F406,"En cours","Terminée"))</f>
        <v/>
      </c>
      <c r="J406" t="inlineStr">
        <is>
          <t>Facebook</t>
        </is>
      </c>
      <c r="K406" t="inlineStr">
        <is>
          <t>Terminée</t>
        </is>
      </c>
    </row>
    <row r="407">
      <c r="A407" t="inlineStr">
        <is>
          <t>L-00406</t>
        </is>
      </c>
      <c r="B407" t="inlineStr">
        <is>
          <t>96667-D-1</t>
        </is>
      </c>
      <c r="C407" t="inlineStr">
        <is>
          <t>CD243862</t>
        </is>
      </c>
      <c r="D407" s="4" t="n">
        <v>820</v>
      </c>
      <c r="E407" s="5" t="n">
        <v>46283</v>
      </c>
      <c r="F407" s="5" t="n">
        <v>46285</v>
      </c>
      <c r="G407">
        <f>MAX(1,F407-E407)</f>
        <v/>
      </c>
      <c r="H407" s="4">
        <f>D407*G407</f>
        <v/>
      </c>
      <c r="I407">
        <f>IF(TODAY()&lt;E407,"À venir",IF(TODAY()&lt;F407,"En cours","Terminée"))</f>
        <v/>
      </c>
      <c r="J407" t="inlineStr">
        <is>
          <t>WhatsApp</t>
        </is>
      </c>
      <c r="K407" t="inlineStr">
        <is>
          <t>Terminée</t>
        </is>
      </c>
    </row>
    <row r="408">
      <c r="A408" t="inlineStr">
        <is>
          <t>L-00407</t>
        </is>
      </c>
      <c r="B408" t="inlineStr">
        <is>
          <t>22394-A-1</t>
        </is>
      </c>
      <c r="C408" t="inlineStr">
        <is>
          <t>BK301004</t>
        </is>
      </c>
      <c r="D408" s="4" t="n">
        <v>300</v>
      </c>
      <c r="E408" s="5" t="n">
        <v>46284</v>
      </c>
      <c r="F408" s="5" t="n">
        <v>46286</v>
      </c>
      <c r="G408">
        <f>MAX(1,F408-E408)</f>
        <v/>
      </c>
      <c r="H408" s="4">
        <f>D408*G408</f>
        <v/>
      </c>
      <c r="I408">
        <f>IF(TODAY()&lt;E408,"À venir",IF(TODAY()&lt;F408,"En cours","Terminée"))</f>
        <v/>
      </c>
      <c r="J408" t="inlineStr">
        <is>
          <t>WhatsApp</t>
        </is>
      </c>
      <c r="K408" t="inlineStr">
        <is>
          <t>Terminée</t>
        </is>
      </c>
    </row>
    <row r="409">
      <c r="A409" t="inlineStr">
        <is>
          <t>L-00408</t>
        </is>
      </c>
      <c r="B409" t="inlineStr">
        <is>
          <t>25835-W-1</t>
        </is>
      </c>
      <c r="C409" t="inlineStr">
        <is>
          <t>G8958792</t>
        </is>
      </c>
      <c r="D409" s="4" t="n">
        <v>480</v>
      </c>
      <c r="E409" s="5" t="n">
        <v>46284</v>
      </c>
      <c r="F409" s="5" t="n">
        <v>46287</v>
      </c>
      <c r="G409">
        <f>MAX(1,F409-E409)</f>
        <v/>
      </c>
      <c r="H409" s="4">
        <f>D409*G409</f>
        <v/>
      </c>
      <c r="I409">
        <f>IF(TODAY()&lt;E409,"À venir",IF(TODAY()&lt;F409,"En cours","Terminée"))</f>
        <v/>
      </c>
      <c r="J409" t="inlineStr">
        <is>
          <t>Facebook</t>
        </is>
      </c>
      <c r="K409" t="inlineStr">
        <is>
          <t>Terminée</t>
        </is>
      </c>
    </row>
    <row r="410">
      <c r="A410" t="inlineStr">
        <is>
          <t>L-00409</t>
        </is>
      </c>
      <c r="B410" t="inlineStr">
        <is>
          <t>71994-D-1</t>
        </is>
      </c>
      <c r="C410" t="inlineStr">
        <is>
          <t>EE225893</t>
        </is>
      </c>
      <c r="D410" s="4" t="n">
        <v>540</v>
      </c>
      <c r="E410" s="5" t="n">
        <v>46284</v>
      </c>
      <c r="F410" s="5" t="n">
        <v>46289</v>
      </c>
      <c r="G410">
        <f>MAX(1,F410-E410)</f>
        <v/>
      </c>
      <c r="H410" s="4">
        <f>D410*G410</f>
        <v/>
      </c>
      <c r="I410">
        <f>IF(TODAY()&lt;E410,"À venir",IF(TODAY()&lt;F410,"En cours","Terminée"))</f>
        <v/>
      </c>
      <c r="J410" t="inlineStr">
        <is>
          <t>Booking.com</t>
        </is>
      </c>
      <c r="K410" t="inlineStr">
        <is>
          <t>Terminée</t>
        </is>
      </c>
    </row>
    <row r="411">
      <c r="A411" t="inlineStr">
        <is>
          <t>L-00410</t>
        </is>
      </c>
      <c r="B411" t="inlineStr">
        <is>
          <t>83373-B-1</t>
        </is>
      </c>
      <c r="C411" t="inlineStr">
        <is>
          <t>A4009241</t>
        </is>
      </c>
      <c r="D411" s="4" t="n">
        <v>260</v>
      </c>
      <c r="E411" s="5" t="n">
        <v>46284</v>
      </c>
      <c r="F411" s="5" t="n">
        <v>46285</v>
      </c>
      <c r="G411">
        <f>MAX(1,F411-E411)</f>
        <v/>
      </c>
      <c r="H411" s="4">
        <f>D411*G411</f>
        <v/>
      </c>
      <c r="I411">
        <f>IF(TODAY()&lt;E411,"À venir",IF(TODAY()&lt;F411,"En cours","Terminée"))</f>
        <v/>
      </c>
      <c r="J411" t="inlineStr">
        <is>
          <t>Comptoir</t>
        </is>
      </c>
      <c r="K411" t="inlineStr">
        <is>
          <t>Terminée</t>
        </is>
      </c>
    </row>
    <row r="412">
      <c r="A412" t="inlineStr">
        <is>
          <t>L-00411</t>
        </is>
      </c>
      <c r="B412" t="inlineStr">
        <is>
          <t>83662-D-1</t>
        </is>
      </c>
      <c r="C412" t="inlineStr">
        <is>
          <t>G1943814</t>
        </is>
      </c>
      <c r="D412" s="4" t="n">
        <v>350</v>
      </c>
      <c r="E412" s="5" t="n">
        <v>46284</v>
      </c>
      <c r="F412" s="5" t="n">
        <v>46288</v>
      </c>
      <c r="G412">
        <f>MAX(1,F412-E412)</f>
        <v/>
      </c>
      <c r="H412" s="4">
        <f>D412*G412</f>
        <v/>
      </c>
      <c r="I412">
        <f>IF(TODAY()&lt;E412,"À venir",IF(TODAY()&lt;F412,"En cours","Terminée"))</f>
        <v/>
      </c>
      <c r="J412" t="inlineStr">
        <is>
          <t>Comptoir</t>
        </is>
      </c>
      <c r="K412" t="inlineStr">
        <is>
          <t>Terminée</t>
        </is>
      </c>
    </row>
    <row r="413">
      <c r="A413" t="inlineStr">
        <is>
          <t>L-00412</t>
        </is>
      </c>
      <c r="B413" t="inlineStr">
        <is>
          <t>85272-B-1</t>
        </is>
      </c>
      <c r="C413" t="inlineStr">
        <is>
          <t>BE789842</t>
        </is>
      </c>
      <c r="D413" s="4" t="n">
        <v>440</v>
      </c>
      <c r="E413" s="5" t="n">
        <v>46284</v>
      </c>
      <c r="F413" s="5" t="n">
        <v>46287</v>
      </c>
      <c r="G413">
        <f>MAX(1,F413-E413)</f>
        <v/>
      </c>
      <c r="H413" s="4">
        <f>D413*G413</f>
        <v/>
      </c>
      <c r="I413">
        <f>IF(TODAY()&lt;E413,"À venir",IF(TODAY()&lt;F413,"En cours","Terminée"))</f>
        <v/>
      </c>
      <c r="J413" t="inlineStr">
        <is>
          <t>Facebook</t>
        </is>
      </c>
      <c r="K413" t="inlineStr">
        <is>
          <t>Terminée</t>
        </is>
      </c>
    </row>
    <row r="414">
      <c r="A414" t="inlineStr">
        <is>
          <t>L-00413</t>
        </is>
      </c>
      <c r="B414" t="inlineStr">
        <is>
          <t>54616-W-1</t>
        </is>
      </c>
      <c r="C414" t="inlineStr">
        <is>
          <t>G1385180</t>
        </is>
      </c>
      <c r="D414" s="4" t="n">
        <v>180</v>
      </c>
      <c r="E414" s="5" t="n">
        <v>46285</v>
      </c>
      <c r="F414" s="5" t="n">
        <v>46287</v>
      </c>
      <c r="G414">
        <f>MAX(1,F414-E414)</f>
        <v/>
      </c>
      <c r="H414" s="4">
        <f>D414*G414</f>
        <v/>
      </c>
      <c r="I414">
        <f>IF(TODAY()&lt;E414,"À venir",IF(TODAY()&lt;F414,"En cours","Terminée"))</f>
        <v/>
      </c>
      <c r="J414" t="inlineStr">
        <is>
          <t>Instagram</t>
        </is>
      </c>
      <c r="K414" t="inlineStr">
        <is>
          <t>Terminée</t>
        </is>
      </c>
    </row>
    <row r="415">
      <c r="A415" t="inlineStr">
        <is>
          <t>L-00414</t>
        </is>
      </c>
      <c r="B415" t="inlineStr">
        <is>
          <t>75329-D-1</t>
        </is>
      </c>
      <c r="C415" t="inlineStr">
        <is>
          <t>DA532628</t>
        </is>
      </c>
      <c r="D415" s="4" t="n">
        <v>430</v>
      </c>
      <c r="E415" s="5" t="n">
        <v>46285</v>
      </c>
      <c r="F415" s="5" t="n">
        <v>46287</v>
      </c>
      <c r="G415">
        <f>MAX(1,F415-E415)</f>
        <v/>
      </c>
      <c r="H415" s="4">
        <f>D415*G415</f>
        <v/>
      </c>
      <c r="I415">
        <f>IF(TODAY()&lt;E415,"À venir",IF(TODAY()&lt;F415,"En cours","Terminée"))</f>
        <v/>
      </c>
      <c r="J415" t="inlineStr">
        <is>
          <t>Facebook</t>
        </is>
      </c>
      <c r="K415" t="inlineStr">
        <is>
          <t>Terminée</t>
        </is>
      </c>
    </row>
    <row r="416">
      <c r="A416" t="inlineStr">
        <is>
          <t>L-00415</t>
        </is>
      </c>
      <c r="B416" t="inlineStr">
        <is>
          <t>77893-H-1</t>
        </is>
      </c>
      <c r="C416" t="inlineStr">
        <is>
          <t>G8815782</t>
        </is>
      </c>
      <c r="D416" s="4" t="n">
        <v>250</v>
      </c>
      <c r="E416" s="5" t="n">
        <v>46285</v>
      </c>
      <c r="F416" s="5" t="n">
        <v>46289</v>
      </c>
      <c r="G416">
        <f>MAX(1,F416-E416)</f>
        <v/>
      </c>
      <c r="H416" s="4">
        <f>D416*G416</f>
        <v/>
      </c>
      <c r="I416">
        <f>IF(TODAY()&lt;E416,"À venir",IF(TODAY()&lt;F416,"En cours","Terminée"))</f>
        <v/>
      </c>
      <c r="J416" t="inlineStr">
        <is>
          <t>WhatsApp</t>
        </is>
      </c>
      <c r="K416" t="inlineStr">
        <is>
          <t>Terminée</t>
        </is>
      </c>
    </row>
    <row r="417">
      <c r="A417" t="inlineStr">
        <is>
          <t>L-00416</t>
        </is>
      </c>
      <c r="B417" t="inlineStr">
        <is>
          <t>85684-A-1</t>
        </is>
      </c>
      <c r="C417" t="inlineStr">
        <is>
          <t>AA916889</t>
        </is>
      </c>
      <c r="D417" s="4" t="n">
        <v>220</v>
      </c>
      <c r="E417" s="5" t="n">
        <v>46285</v>
      </c>
      <c r="F417" s="5" t="n">
        <v>46287</v>
      </c>
      <c r="G417">
        <f>MAX(1,F417-E417)</f>
        <v/>
      </c>
      <c r="H417" s="4">
        <f>D417*G417</f>
        <v/>
      </c>
      <c r="I417">
        <f>IF(TODAY()&lt;E417,"À venir",IF(TODAY()&lt;F417,"En cours","Terminée"))</f>
        <v/>
      </c>
      <c r="J417" t="inlineStr">
        <is>
          <t>WhatsApp</t>
        </is>
      </c>
      <c r="K417" t="inlineStr">
        <is>
          <t>Terminée</t>
        </is>
      </c>
    </row>
    <row r="418">
      <c r="A418" t="inlineStr">
        <is>
          <t>L-00417</t>
        </is>
      </c>
      <c r="B418" t="inlineStr">
        <is>
          <t>91702-H-1</t>
        </is>
      </c>
      <c r="C418" t="inlineStr">
        <is>
          <t>DA894249</t>
        </is>
      </c>
      <c r="D418" s="4" t="n">
        <v>770</v>
      </c>
      <c r="E418" s="5" t="n">
        <v>46285</v>
      </c>
      <c r="F418" s="5" t="n">
        <v>46286</v>
      </c>
      <c r="G418">
        <f>MAX(1,F418-E418)</f>
        <v/>
      </c>
      <c r="H418" s="4">
        <f>D418*G418</f>
        <v/>
      </c>
      <c r="I418">
        <f>IF(TODAY()&lt;E418,"À venir",IF(TODAY()&lt;F418,"En cours","Terminée"))</f>
        <v/>
      </c>
      <c r="J418" t="inlineStr">
        <is>
          <t>WhatsApp</t>
        </is>
      </c>
      <c r="K418" t="inlineStr">
        <is>
          <t>Terminée</t>
        </is>
      </c>
    </row>
    <row r="419">
      <c r="A419" t="inlineStr">
        <is>
          <t>L-00418</t>
        </is>
      </c>
      <c r="B419" t="inlineStr">
        <is>
          <t>94626-B-1</t>
        </is>
      </c>
      <c r="C419" t="inlineStr">
        <is>
          <t>AE975066</t>
        </is>
      </c>
      <c r="D419" s="4" t="n">
        <v>920</v>
      </c>
      <c r="E419" s="5" t="n">
        <v>46285</v>
      </c>
      <c r="F419" s="5" t="n">
        <v>46287</v>
      </c>
      <c r="G419">
        <f>MAX(1,F419-E419)</f>
        <v/>
      </c>
      <c r="H419" s="4">
        <f>D419*G419</f>
        <v/>
      </c>
      <c r="I419">
        <f>IF(TODAY()&lt;E419,"À venir",IF(TODAY()&lt;F419,"En cours","Terminée"))</f>
        <v/>
      </c>
      <c r="J419" t="inlineStr">
        <is>
          <t>WhatsApp</t>
        </is>
      </c>
      <c r="K419" t="inlineStr">
        <is>
          <t>Terminée</t>
        </is>
      </c>
    </row>
    <row r="420">
      <c r="A420" t="inlineStr">
        <is>
          <t>L-00419</t>
        </is>
      </c>
      <c r="B420" t="inlineStr">
        <is>
          <t>81442-B-1</t>
        </is>
      </c>
      <c r="C420" t="inlineStr">
        <is>
          <t>BK784742</t>
        </is>
      </c>
      <c r="D420" s="4" t="n">
        <v>360</v>
      </c>
      <c r="E420" s="5" t="n">
        <v>46286</v>
      </c>
      <c r="F420" s="5" t="n">
        <v>46293</v>
      </c>
      <c r="G420">
        <f>MAX(1,F420-E420)</f>
        <v/>
      </c>
      <c r="H420" s="4">
        <f>D420*G420</f>
        <v/>
      </c>
      <c r="I420">
        <f>IF(TODAY()&lt;E420,"À venir",IF(TODAY()&lt;F420,"En cours","Terminée"))</f>
        <v/>
      </c>
      <c r="J420" t="inlineStr">
        <is>
          <t>Téléphone</t>
        </is>
      </c>
      <c r="K420" t="inlineStr">
        <is>
          <t>En cours</t>
        </is>
      </c>
    </row>
    <row r="421">
      <c r="A421" t="inlineStr">
        <is>
          <t>L-00420</t>
        </is>
      </c>
      <c r="B421" t="inlineStr">
        <is>
          <t>83373-B-1</t>
        </is>
      </c>
      <c r="C421" t="inlineStr">
        <is>
          <t>CD649429</t>
        </is>
      </c>
      <c r="D421" s="4" t="n">
        <v>260</v>
      </c>
      <c r="E421" s="5" t="n">
        <v>46286</v>
      </c>
      <c r="F421" s="5" t="n">
        <v>46290</v>
      </c>
      <c r="G421">
        <f>MAX(1,F421-E421)</f>
        <v/>
      </c>
      <c r="H421" s="4">
        <f>D421*G421</f>
        <v/>
      </c>
      <c r="I421">
        <f>IF(TODAY()&lt;E421,"À venir",IF(TODAY()&lt;F421,"En cours","Terminée"))</f>
        <v/>
      </c>
      <c r="J421" t="inlineStr">
        <is>
          <t>Comptoir</t>
        </is>
      </c>
      <c r="K421" t="inlineStr">
        <is>
          <t>Terminée</t>
        </is>
      </c>
    </row>
    <row r="422">
      <c r="A422" t="inlineStr">
        <is>
          <t>L-00421</t>
        </is>
      </c>
      <c r="B422" t="inlineStr">
        <is>
          <t>84923-D-1</t>
        </is>
      </c>
      <c r="C422" t="inlineStr">
        <is>
          <t>G1948412</t>
        </is>
      </c>
      <c r="D422" s="4" t="n">
        <v>570</v>
      </c>
      <c r="E422" s="5" t="n">
        <v>46286</v>
      </c>
      <c r="F422" s="5" t="n">
        <v>46291</v>
      </c>
      <c r="G422">
        <f>MAX(1,F422-E422)</f>
        <v/>
      </c>
      <c r="H422" s="4">
        <f>D422*G422</f>
        <v/>
      </c>
      <c r="I422">
        <f>IF(TODAY()&lt;E422,"À venir",IF(TODAY()&lt;F422,"En cours","Terminée"))</f>
        <v/>
      </c>
      <c r="J422" t="inlineStr">
        <is>
          <t>Site web</t>
        </is>
      </c>
      <c r="K422" t="inlineStr">
        <is>
          <t>En cours</t>
        </is>
      </c>
    </row>
    <row r="423">
      <c r="A423" t="inlineStr">
        <is>
          <t>L-00422</t>
        </is>
      </c>
      <c r="B423" t="inlineStr">
        <is>
          <t>95936-H-1</t>
        </is>
      </c>
      <c r="C423" t="inlineStr">
        <is>
          <t>A9252015</t>
        </is>
      </c>
      <c r="D423" s="4" t="n">
        <v>390</v>
      </c>
      <c r="E423" s="5" t="n">
        <v>46286</v>
      </c>
      <c r="F423" s="5" t="n">
        <v>46288</v>
      </c>
      <c r="G423">
        <f>MAX(1,F423-E423)</f>
        <v/>
      </c>
      <c r="H423" s="4">
        <f>D423*G423</f>
        <v/>
      </c>
      <c r="I423">
        <f>IF(TODAY()&lt;E423,"À venir",IF(TODAY()&lt;F423,"En cours","Terminée"))</f>
        <v/>
      </c>
      <c r="J423" t="inlineStr">
        <is>
          <t>WhatsApp</t>
        </is>
      </c>
      <c r="K423" t="inlineStr">
        <is>
          <t>Terminée</t>
        </is>
      </c>
    </row>
    <row r="424">
      <c r="A424" t="inlineStr">
        <is>
          <t>L-00423</t>
        </is>
      </c>
      <c r="B424" t="inlineStr">
        <is>
          <t>22394-A-1</t>
        </is>
      </c>
      <c r="C424" t="inlineStr">
        <is>
          <t>DA264765</t>
        </is>
      </c>
      <c r="D424" s="4" t="n">
        <v>310</v>
      </c>
      <c r="E424" s="5" t="n">
        <v>46287</v>
      </c>
      <c r="F424" s="5" t="n">
        <v>46292</v>
      </c>
      <c r="G424">
        <f>MAX(1,F424-E424)</f>
        <v/>
      </c>
      <c r="H424" s="4">
        <f>D424*G424</f>
        <v/>
      </c>
      <c r="I424">
        <f>IF(TODAY()&lt;E424,"À venir",IF(TODAY()&lt;F424,"En cours","Terminée"))</f>
        <v/>
      </c>
      <c r="J424" t="inlineStr">
        <is>
          <t>Booking.com</t>
        </is>
      </c>
      <c r="K424" t="inlineStr">
        <is>
          <t>En cours</t>
        </is>
      </c>
    </row>
    <row r="425">
      <c r="A425" t="inlineStr">
        <is>
          <t>L-00424</t>
        </is>
      </c>
      <c r="B425" t="inlineStr">
        <is>
          <t>76897-B-1</t>
        </is>
      </c>
      <c r="C425" t="inlineStr">
        <is>
          <t>G5643699</t>
        </is>
      </c>
      <c r="D425" s="4" t="n">
        <v>500</v>
      </c>
      <c r="E425" s="5" t="n">
        <v>46287</v>
      </c>
      <c r="F425" s="5" t="n">
        <v>46292</v>
      </c>
      <c r="G425">
        <f>MAX(1,F425-E425)</f>
        <v/>
      </c>
      <c r="H425" s="4">
        <f>D425*G425</f>
        <v/>
      </c>
      <c r="I425">
        <f>IF(TODAY()&lt;E425,"À venir",IF(TODAY()&lt;F425,"En cours","Terminée"))</f>
        <v/>
      </c>
      <c r="J425" t="inlineStr">
        <is>
          <t>WhatsApp</t>
        </is>
      </c>
      <c r="K425" t="inlineStr">
        <is>
          <t>En cours</t>
        </is>
      </c>
    </row>
    <row r="426">
      <c r="A426" t="inlineStr">
        <is>
          <t>L-00425</t>
        </is>
      </c>
      <c r="B426" t="inlineStr">
        <is>
          <t>96667-D-1</t>
        </is>
      </c>
      <c r="C426" t="inlineStr">
        <is>
          <t>A7732341</t>
        </is>
      </c>
      <c r="D426" s="4" t="n">
        <v>830</v>
      </c>
      <c r="E426" s="5" t="n">
        <v>46287</v>
      </c>
      <c r="F426" s="5" t="n">
        <v>46288</v>
      </c>
      <c r="G426">
        <f>MAX(1,F426-E426)</f>
        <v/>
      </c>
      <c r="H426" s="4">
        <f>D426*G426</f>
        <v/>
      </c>
      <c r="I426">
        <f>IF(TODAY()&lt;E426,"À venir",IF(TODAY()&lt;F426,"En cours","Terminée"))</f>
        <v/>
      </c>
      <c r="J426" t="inlineStr">
        <is>
          <t>Comptoir</t>
        </is>
      </c>
      <c r="K426" t="inlineStr">
        <is>
          <t>Terminée</t>
        </is>
      </c>
    </row>
    <row r="427">
      <c r="A427" t="inlineStr">
        <is>
          <t>L-00426</t>
        </is>
      </c>
      <c r="B427" t="inlineStr">
        <is>
          <t>22080-H-1</t>
        </is>
      </c>
      <c r="C427" t="inlineStr">
        <is>
          <t>PA6664582</t>
        </is>
      </c>
      <c r="D427" s="4" t="n">
        <v>270</v>
      </c>
      <c r="E427" s="5" t="n">
        <v>46288</v>
      </c>
      <c r="F427" s="5" t="n">
        <v>46290</v>
      </c>
      <c r="G427">
        <f>MAX(1,F427-E427)</f>
        <v/>
      </c>
      <c r="H427" s="4">
        <f>D427*G427</f>
        <v/>
      </c>
      <c r="I427">
        <f>IF(TODAY()&lt;E427,"À venir",IF(TODAY()&lt;F427,"En cours","Terminée"))</f>
        <v/>
      </c>
      <c r="J427" t="inlineStr">
        <is>
          <t>Instagram</t>
        </is>
      </c>
      <c r="K427" t="inlineStr">
        <is>
          <t>Terminée</t>
        </is>
      </c>
    </row>
    <row r="428">
      <c r="A428" t="inlineStr">
        <is>
          <t>L-00427</t>
        </is>
      </c>
      <c r="B428" t="inlineStr">
        <is>
          <t>25835-W-1</t>
        </is>
      </c>
      <c r="C428" t="inlineStr">
        <is>
          <t>DA850793</t>
        </is>
      </c>
      <c r="D428" s="4" t="n">
        <v>450</v>
      </c>
      <c r="E428" s="5" t="n">
        <v>46288</v>
      </c>
      <c r="F428" s="5" t="n">
        <v>46295</v>
      </c>
      <c r="G428">
        <f>MAX(1,F428-E428)</f>
        <v/>
      </c>
      <c r="H428" s="4">
        <f>D428*G428</f>
        <v/>
      </c>
      <c r="I428">
        <f>IF(TODAY()&lt;E428,"À venir",IF(TODAY()&lt;F428,"En cours","Terminée"))</f>
        <v/>
      </c>
      <c r="J428" t="inlineStr">
        <is>
          <t>WhatsApp</t>
        </is>
      </c>
      <c r="K428" t="inlineStr">
        <is>
          <t>En cours</t>
        </is>
      </c>
    </row>
    <row r="429">
      <c r="A429" t="inlineStr">
        <is>
          <t>L-00428</t>
        </is>
      </c>
      <c r="B429" t="inlineStr">
        <is>
          <t>54616-W-1</t>
        </is>
      </c>
      <c r="C429" t="inlineStr">
        <is>
          <t>AB893891</t>
        </is>
      </c>
      <c r="D429" s="4" t="n">
        <v>170</v>
      </c>
      <c r="E429" s="5" t="n">
        <v>46288</v>
      </c>
      <c r="F429" s="5" t="n">
        <v>46290</v>
      </c>
      <c r="G429">
        <f>MAX(1,F429-E429)</f>
        <v/>
      </c>
      <c r="H429" s="4">
        <f>D429*G429</f>
        <v/>
      </c>
      <c r="I429">
        <f>IF(TODAY()&lt;E429,"À venir",IF(TODAY()&lt;F429,"En cours","Terminée"))</f>
        <v/>
      </c>
      <c r="J429" t="inlineStr">
        <is>
          <t>WhatsApp</t>
        </is>
      </c>
      <c r="K429" t="inlineStr">
        <is>
          <t>Terminée</t>
        </is>
      </c>
    </row>
    <row r="430">
      <c r="A430" t="inlineStr">
        <is>
          <t>L-00429</t>
        </is>
      </c>
      <c r="B430" t="inlineStr">
        <is>
          <t>62064-H-1</t>
        </is>
      </c>
      <c r="C430" t="inlineStr">
        <is>
          <t>AB326595</t>
        </is>
      </c>
      <c r="D430" s="4" t="n">
        <v>250</v>
      </c>
      <c r="E430" s="5" t="n">
        <v>46288</v>
      </c>
      <c r="F430" s="5" t="n">
        <v>46295</v>
      </c>
      <c r="G430">
        <f>MAX(1,F430-E430)</f>
        <v/>
      </c>
      <c r="H430" s="4">
        <f>D430*G430</f>
        <v/>
      </c>
      <c r="I430">
        <f>IF(TODAY()&lt;E430,"À venir",IF(TODAY()&lt;F430,"En cours","Terminée"))</f>
        <v/>
      </c>
      <c r="J430" t="inlineStr">
        <is>
          <t>Comptoir</t>
        </is>
      </c>
      <c r="K430" t="inlineStr">
        <is>
          <t>En cours</t>
        </is>
      </c>
    </row>
    <row r="431">
      <c r="A431" t="inlineStr">
        <is>
          <t>L-00430</t>
        </is>
      </c>
      <c r="B431" t="inlineStr">
        <is>
          <t>62268-B-1</t>
        </is>
      </c>
      <c r="C431" t="inlineStr">
        <is>
          <t>AE278482</t>
        </is>
      </c>
      <c r="D431" s="4" t="n">
        <v>260</v>
      </c>
      <c r="E431" s="5" t="n">
        <v>46288</v>
      </c>
      <c r="F431" s="5" t="n">
        <v>46291</v>
      </c>
      <c r="G431">
        <f>MAX(1,F431-E431)</f>
        <v/>
      </c>
      <c r="H431" s="4">
        <f>D431*G431</f>
        <v/>
      </c>
      <c r="I431">
        <f>IF(TODAY()&lt;E431,"À venir",IF(TODAY()&lt;F431,"En cours","Terminée"))</f>
        <v/>
      </c>
      <c r="J431" t="inlineStr">
        <is>
          <t>Instagram</t>
        </is>
      </c>
      <c r="K431" t="inlineStr">
        <is>
          <t>En cours</t>
        </is>
      </c>
    </row>
    <row r="432">
      <c r="A432" t="inlineStr">
        <is>
          <t>L-00431</t>
        </is>
      </c>
      <c r="B432" t="inlineStr">
        <is>
          <t>71302-W-1</t>
        </is>
      </c>
      <c r="C432" t="inlineStr">
        <is>
          <t>BE636382</t>
        </is>
      </c>
      <c r="D432" s="4" t="n">
        <v>340</v>
      </c>
      <c r="E432" s="5" t="n">
        <v>46288</v>
      </c>
      <c r="F432" s="5" t="n">
        <v>46291</v>
      </c>
      <c r="G432">
        <f>MAX(1,F432-E432)</f>
        <v/>
      </c>
      <c r="H432" s="4">
        <f>D432*G432</f>
        <v/>
      </c>
      <c r="I432">
        <f>IF(TODAY()&lt;E432,"À venir",IF(TODAY()&lt;F432,"En cours","Terminée"))</f>
        <v/>
      </c>
      <c r="J432" t="inlineStr">
        <is>
          <t>Facebook</t>
        </is>
      </c>
      <c r="K432" t="inlineStr">
        <is>
          <t>En cours</t>
        </is>
      </c>
    </row>
    <row r="433">
      <c r="A433" t="inlineStr">
        <is>
          <t>L-00432</t>
        </is>
      </c>
      <c r="B433" t="inlineStr">
        <is>
          <t>88664-D-1</t>
        </is>
      </c>
      <c r="C433" t="inlineStr">
        <is>
          <t>CD298236</t>
        </is>
      </c>
      <c r="D433" s="4" t="n">
        <v>290</v>
      </c>
      <c r="E433" s="5" t="n">
        <v>46288</v>
      </c>
      <c r="F433" s="5" t="n">
        <v>46289</v>
      </c>
      <c r="G433">
        <f>MAX(1,F433-E433)</f>
        <v/>
      </c>
      <c r="H433" s="4">
        <f>D433*G433</f>
        <v/>
      </c>
      <c r="I433">
        <f>IF(TODAY()&lt;E433,"À venir",IF(TODAY()&lt;F433,"En cours","Terminée"))</f>
        <v/>
      </c>
      <c r="J433" t="inlineStr">
        <is>
          <t>Téléphone</t>
        </is>
      </c>
      <c r="K433" t="inlineStr">
        <is>
          <t>Terminée</t>
        </is>
      </c>
    </row>
    <row r="434">
      <c r="A434" t="inlineStr">
        <is>
          <t>L-00433</t>
        </is>
      </c>
      <c r="B434" t="inlineStr">
        <is>
          <t>88778-A-1</t>
        </is>
      </c>
      <c r="C434" t="inlineStr">
        <is>
          <t>AD941277</t>
        </is>
      </c>
      <c r="D434" s="4" t="n">
        <v>210</v>
      </c>
      <c r="E434" s="5" t="n">
        <v>46288</v>
      </c>
      <c r="F434" s="5" t="n">
        <v>46292</v>
      </c>
      <c r="G434">
        <f>MAX(1,F434-E434)</f>
        <v/>
      </c>
      <c r="H434" s="4">
        <f>D434*G434</f>
        <v/>
      </c>
      <c r="I434">
        <f>IF(TODAY()&lt;E434,"À venir",IF(TODAY()&lt;F434,"En cours","Terminée"))</f>
        <v/>
      </c>
      <c r="J434" t="inlineStr">
        <is>
          <t>Site web</t>
        </is>
      </c>
      <c r="K434" t="inlineStr">
        <is>
          <t>En cours</t>
        </is>
      </c>
    </row>
    <row r="435">
      <c r="A435" t="inlineStr">
        <is>
          <t>L-00434</t>
        </is>
      </c>
      <c r="B435" t="inlineStr">
        <is>
          <t>91702-H-1</t>
        </is>
      </c>
      <c r="C435" t="inlineStr">
        <is>
          <t>BK494164</t>
        </is>
      </c>
      <c r="D435" s="4" t="n">
        <v>790</v>
      </c>
      <c r="E435" s="5" t="n">
        <v>46288</v>
      </c>
      <c r="F435" s="5" t="n">
        <v>46291</v>
      </c>
      <c r="G435">
        <f>MAX(1,F435-E435)</f>
        <v/>
      </c>
      <c r="H435" s="4">
        <f>D435*G435</f>
        <v/>
      </c>
      <c r="I435">
        <f>IF(TODAY()&lt;E435,"À venir",IF(TODAY()&lt;F435,"En cours","Terminée"))</f>
        <v/>
      </c>
      <c r="J435" t="inlineStr">
        <is>
          <t>Téléphone</t>
        </is>
      </c>
      <c r="K435" t="inlineStr">
        <is>
          <t>En cours</t>
        </is>
      </c>
    </row>
    <row r="436">
      <c r="A436" t="inlineStr">
        <is>
          <t>L-00435</t>
        </is>
      </c>
      <c r="B436" t="inlineStr">
        <is>
          <t>94626-B-1</t>
        </is>
      </c>
      <c r="C436" t="inlineStr">
        <is>
          <t>CD196457</t>
        </is>
      </c>
      <c r="D436" s="4" t="n">
        <v>820</v>
      </c>
      <c r="E436" s="5" t="n">
        <v>46288</v>
      </c>
      <c r="F436" s="5" t="n">
        <v>46295</v>
      </c>
      <c r="G436">
        <f>MAX(1,F436-E436)</f>
        <v/>
      </c>
      <c r="H436" s="4">
        <f>D436*G436</f>
        <v/>
      </c>
      <c r="I436">
        <f>IF(TODAY()&lt;E436,"À venir",IF(TODAY()&lt;F436,"En cours","Terminée"))</f>
        <v/>
      </c>
      <c r="J436" t="inlineStr">
        <is>
          <t>Facebook</t>
        </is>
      </c>
      <c r="K436" t="inlineStr">
        <is>
          <t>En cours</t>
        </is>
      </c>
    </row>
    <row r="437">
      <c r="A437" t="inlineStr">
        <is>
          <t>L-00436</t>
        </is>
      </c>
      <c r="B437" t="inlineStr">
        <is>
          <t>21066-H-1</t>
        </is>
      </c>
      <c r="C437" t="inlineStr">
        <is>
          <t>EE722487</t>
        </is>
      </c>
      <c r="D437" s="4" t="n">
        <v>500</v>
      </c>
      <c r="E437" s="5" t="n">
        <v>46289</v>
      </c>
      <c r="F437" s="5" t="n">
        <v>46293</v>
      </c>
      <c r="G437">
        <f>MAX(1,F437-E437)</f>
        <v/>
      </c>
      <c r="H437" s="4">
        <f>D437*G437</f>
        <v/>
      </c>
      <c r="I437">
        <f>IF(TODAY()&lt;E437,"À venir",IF(TODAY()&lt;F437,"En cours","Terminée"))</f>
        <v/>
      </c>
      <c r="J437" t="inlineStr">
        <is>
          <t>WhatsApp</t>
        </is>
      </c>
      <c r="K437" t="inlineStr">
        <is>
          <t>En cours</t>
        </is>
      </c>
    </row>
    <row r="438">
      <c r="A438" t="inlineStr">
        <is>
          <t>L-00437</t>
        </is>
      </c>
      <c r="B438" t="inlineStr">
        <is>
          <t>49965-H-1</t>
        </is>
      </c>
      <c r="C438" t="inlineStr">
        <is>
          <t>A9203288</t>
        </is>
      </c>
      <c r="D438" s="4" t="n">
        <v>840</v>
      </c>
      <c r="E438" s="5" t="n">
        <v>46289</v>
      </c>
      <c r="F438" s="5" t="n">
        <v>46296</v>
      </c>
      <c r="G438">
        <f>MAX(1,F438-E438)</f>
        <v/>
      </c>
      <c r="H438" s="4">
        <f>D438*G438</f>
        <v/>
      </c>
      <c r="I438">
        <f>IF(TODAY()&lt;E438,"À venir",IF(TODAY()&lt;F438,"En cours","Terminée"))</f>
        <v/>
      </c>
      <c r="J438" t="inlineStr">
        <is>
          <t>Booking.com</t>
        </is>
      </c>
      <c r="K438" t="inlineStr">
        <is>
          <t>En cours</t>
        </is>
      </c>
    </row>
    <row r="439">
      <c r="A439" t="inlineStr">
        <is>
          <t>L-00438</t>
        </is>
      </c>
      <c r="B439" t="inlineStr">
        <is>
          <t>91567-W-1</t>
        </is>
      </c>
      <c r="C439" t="inlineStr">
        <is>
          <t>BE418225</t>
        </is>
      </c>
      <c r="D439" s="4" t="n">
        <v>200</v>
      </c>
      <c r="E439" s="5" t="n">
        <v>46289</v>
      </c>
      <c r="F439" s="5" t="n">
        <v>46291</v>
      </c>
      <c r="G439">
        <f>MAX(1,F439-E439)</f>
        <v/>
      </c>
      <c r="H439" s="4">
        <f>D439*G439</f>
        <v/>
      </c>
      <c r="I439">
        <f>IF(TODAY()&lt;E439,"À venir",IF(TODAY()&lt;F439,"En cours","Terminée"))</f>
        <v/>
      </c>
      <c r="J439" t="inlineStr">
        <is>
          <t>WhatsApp</t>
        </is>
      </c>
      <c r="K439" t="inlineStr">
        <is>
          <t>En cours</t>
        </is>
      </c>
    </row>
    <row r="440">
      <c r="A440" t="inlineStr">
        <is>
          <t>L-00439</t>
        </is>
      </c>
      <c r="B440" t="inlineStr">
        <is>
          <t>95936-H-1</t>
        </is>
      </c>
      <c r="C440" t="inlineStr">
        <is>
          <t>DA802571</t>
        </is>
      </c>
      <c r="D440" s="4" t="n">
        <v>350</v>
      </c>
      <c r="E440" s="5" t="n">
        <v>46289</v>
      </c>
      <c r="F440" s="5" t="n">
        <v>46299</v>
      </c>
      <c r="G440">
        <f>MAX(1,F440-E440)</f>
        <v/>
      </c>
      <c r="H440" s="4">
        <f>D440*G440</f>
        <v/>
      </c>
      <c r="I440">
        <f>IF(TODAY()&lt;E440,"À venir",IF(TODAY()&lt;F440,"En cours","Terminée"))</f>
        <v/>
      </c>
      <c r="J440" t="inlineStr">
        <is>
          <t>Comptoir</t>
        </is>
      </c>
      <c r="K440" t="inlineStr">
        <is>
          <t>En cours</t>
        </is>
      </c>
    </row>
    <row r="441">
      <c r="A441" t="inlineStr">
        <is>
          <t>L-00440</t>
        </is>
      </c>
      <c r="B441" t="inlineStr">
        <is>
          <t>97018-A-1</t>
        </is>
      </c>
      <c r="C441" t="inlineStr">
        <is>
          <t>DA733092</t>
        </is>
      </c>
      <c r="D441" s="4" t="n">
        <v>340</v>
      </c>
      <c r="E441" s="5" t="n">
        <v>46289</v>
      </c>
      <c r="F441" s="5" t="n">
        <v>46294</v>
      </c>
      <c r="G441">
        <f>MAX(1,F441-E441)</f>
        <v/>
      </c>
      <c r="H441" s="4">
        <f>D441*G441</f>
        <v/>
      </c>
      <c r="I441">
        <f>IF(TODAY()&lt;E441,"À venir",IF(TODAY()&lt;F441,"En cours","Terminée"))</f>
        <v/>
      </c>
      <c r="J441" t="inlineStr">
        <is>
          <t>Booking.com</t>
        </is>
      </c>
      <c r="K441" t="inlineStr">
        <is>
          <t>En cours</t>
        </is>
      </c>
    </row>
    <row r="442">
      <c r="A442" t="inlineStr">
        <is>
          <t>L-00441</t>
        </is>
      </c>
      <c r="B442" t="inlineStr">
        <is>
          <t>97618-A-1</t>
        </is>
      </c>
      <c r="C442" t="inlineStr">
        <is>
          <t>CD761106</t>
        </is>
      </c>
      <c r="D442" s="4" t="n">
        <v>400</v>
      </c>
      <c r="E442" s="5" t="n">
        <v>46289</v>
      </c>
      <c r="F442" s="5" t="n">
        <v>46291</v>
      </c>
      <c r="G442">
        <f>MAX(1,F442-E442)</f>
        <v/>
      </c>
      <c r="H442" s="4">
        <f>D442*G442</f>
        <v/>
      </c>
      <c r="I442">
        <f>IF(TODAY()&lt;E442,"À venir",IF(TODAY()&lt;F442,"En cours","Terminée"))</f>
        <v/>
      </c>
      <c r="J442" t="inlineStr">
        <is>
          <t>Instagram</t>
        </is>
      </c>
      <c r="K442" t="inlineStr">
        <is>
          <t>En cours</t>
        </is>
      </c>
    </row>
    <row r="443">
      <c r="A443" t="inlineStr">
        <is>
          <t>L-00442</t>
        </is>
      </c>
      <c r="B443" t="inlineStr">
        <is>
          <t>33992-B-1</t>
        </is>
      </c>
      <c r="C443" t="inlineStr">
        <is>
          <t>BE789842</t>
        </is>
      </c>
      <c r="D443" s="4" t="n">
        <v>410</v>
      </c>
      <c r="E443" s="5" t="n">
        <v>46290</v>
      </c>
      <c r="F443" s="5" t="n">
        <v>46292</v>
      </c>
      <c r="G443">
        <f>MAX(1,F443-E443)</f>
        <v/>
      </c>
      <c r="H443" s="4">
        <f>D443*G443</f>
        <v/>
      </c>
      <c r="I443">
        <f>IF(TODAY()&lt;E443,"À venir",IF(TODAY()&lt;F443,"En cours","Terminée"))</f>
        <v/>
      </c>
      <c r="J443" t="inlineStr">
        <is>
          <t>WhatsApp</t>
        </is>
      </c>
      <c r="K443" t="inlineStr">
        <is>
          <t>En cours</t>
        </is>
      </c>
    </row>
    <row r="444">
      <c r="A444" t="inlineStr">
        <is>
          <t>L-00443</t>
        </is>
      </c>
      <c r="B444" t="inlineStr">
        <is>
          <t>69873-A-1</t>
        </is>
      </c>
      <c r="C444" t="inlineStr">
        <is>
          <t>DA228644</t>
        </is>
      </c>
      <c r="D444" s="4" t="n">
        <v>300</v>
      </c>
      <c r="E444" s="5" t="n">
        <v>46290</v>
      </c>
      <c r="F444" s="5" t="n">
        <v>46295</v>
      </c>
      <c r="G444">
        <f>MAX(1,F444-E444)</f>
        <v/>
      </c>
      <c r="H444" s="4">
        <f>D444*G444</f>
        <v/>
      </c>
      <c r="I444">
        <f>IF(TODAY()&lt;E444,"À venir",IF(TODAY()&lt;F444,"En cours","Terminée"))</f>
        <v/>
      </c>
      <c r="J444" t="inlineStr">
        <is>
          <t>WhatsApp</t>
        </is>
      </c>
      <c r="K444" t="inlineStr">
        <is>
          <t>En cours</t>
        </is>
      </c>
    </row>
    <row r="445">
      <c r="A445" t="inlineStr">
        <is>
          <t>L-00444</t>
        </is>
      </c>
      <c r="B445" t="inlineStr">
        <is>
          <t>76545-W-1</t>
        </is>
      </c>
      <c r="C445" t="inlineStr">
        <is>
          <t>BK141422</t>
        </is>
      </c>
      <c r="D445" s="4" t="n">
        <v>580</v>
      </c>
      <c r="E445" s="5" t="n">
        <v>46290</v>
      </c>
      <c r="F445" s="5" t="n">
        <v>46293</v>
      </c>
      <c r="G445">
        <f>MAX(1,F445-E445)</f>
        <v/>
      </c>
      <c r="H445" s="4">
        <f>D445*G445</f>
        <v/>
      </c>
      <c r="I445">
        <f>IF(TODAY()&lt;E445,"À venir",IF(TODAY()&lt;F445,"En cours","Terminée"))</f>
        <v/>
      </c>
      <c r="J445" t="inlineStr">
        <is>
          <t>Facebook</t>
        </is>
      </c>
      <c r="K445" t="inlineStr">
        <is>
          <t>En cours</t>
        </is>
      </c>
    </row>
    <row r="446">
      <c r="A446" t="inlineStr">
        <is>
          <t>L-00445</t>
        </is>
      </c>
      <c r="B446" t="inlineStr">
        <is>
          <t>83662-D-1</t>
        </is>
      </c>
      <c r="C446" t="inlineStr">
        <is>
          <t>AA380924</t>
        </is>
      </c>
      <c r="D446" s="4" t="n">
        <v>370</v>
      </c>
      <c r="E446" s="5" t="n">
        <v>46290</v>
      </c>
      <c r="F446" s="5" t="n">
        <v>46292</v>
      </c>
      <c r="G446">
        <f>MAX(1,F446-E446)</f>
        <v/>
      </c>
      <c r="H446" s="4">
        <f>D446*G446</f>
        <v/>
      </c>
      <c r="I446">
        <f>IF(TODAY()&lt;E446,"À venir",IF(TODAY()&lt;F446,"En cours","Terminée"))</f>
        <v/>
      </c>
      <c r="J446" t="inlineStr">
        <is>
          <t>WhatsApp</t>
        </is>
      </c>
      <c r="K446" t="inlineStr">
        <is>
          <t>En cours</t>
        </is>
      </c>
    </row>
    <row r="447">
      <c r="A447" t="inlineStr">
        <is>
          <t>L-00446</t>
        </is>
      </c>
      <c r="B447" t="inlineStr">
        <is>
          <t>85684-A-1</t>
        </is>
      </c>
      <c r="C447" t="inlineStr">
        <is>
          <t>G5643699</t>
        </is>
      </c>
      <c r="D447" s="4" t="n">
        <v>210</v>
      </c>
      <c r="E447" s="5" t="n">
        <v>46290</v>
      </c>
      <c r="F447" s="5" t="n">
        <v>46292</v>
      </c>
      <c r="G447">
        <f>MAX(1,F447-E447)</f>
        <v/>
      </c>
      <c r="H447" s="4">
        <f>D447*G447</f>
        <v/>
      </c>
      <c r="I447">
        <f>IF(TODAY()&lt;E447,"À venir",IF(TODAY()&lt;F447,"En cours","Terminée"))</f>
        <v/>
      </c>
      <c r="J447" t="inlineStr">
        <is>
          <t>Facebook</t>
        </is>
      </c>
      <c r="K447" t="inlineStr">
        <is>
          <t>En cours</t>
        </is>
      </c>
    </row>
    <row r="448">
      <c r="A448" t="inlineStr">
        <is>
          <t>L-00447</t>
        </is>
      </c>
      <c r="B448" t="inlineStr">
        <is>
          <t>88664-D-1</t>
        </is>
      </c>
      <c r="C448" t="inlineStr">
        <is>
          <t>DA228644</t>
        </is>
      </c>
      <c r="D448" s="4" t="n">
        <v>300</v>
      </c>
      <c r="E448" s="5" t="n">
        <v>46290</v>
      </c>
      <c r="F448" s="5" t="n">
        <v>46293</v>
      </c>
      <c r="G448">
        <f>MAX(1,F448-E448)</f>
        <v/>
      </c>
      <c r="H448" s="4">
        <f>D448*G448</f>
        <v/>
      </c>
      <c r="I448">
        <f>IF(TODAY()&lt;E448,"À venir",IF(TODAY()&lt;F448,"En cours","Terminée"))</f>
        <v/>
      </c>
      <c r="J448" t="inlineStr">
        <is>
          <t>WhatsApp</t>
        </is>
      </c>
      <c r="K448" t="inlineStr">
        <is>
          <t>En cours</t>
        </is>
      </c>
    </row>
    <row r="449">
      <c r="A449" t="inlineStr">
        <is>
          <t>L-00448</t>
        </is>
      </c>
      <c r="B449" t="inlineStr">
        <is>
          <t>96667-D-1</t>
        </is>
      </c>
      <c r="C449" t="inlineStr">
        <is>
          <t>DA794435</t>
        </is>
      </c>
      <c r="D449" s="4" t="n">
        <v>800</v>
      </c>
      <c r="E449" s="5" t="n">
        <v>46290</v>
      </c>
      <c r="F449" s="5" t="n">
        <v>46293</v>
      </c>
      <c r="G449">
        <f>MAX(1,F449-E449)</f>
        <v/>
      </c>
      <c r="H449" s="4">
        <f>D449*G449</f>
        <v/>
      </c>
      <c r="I449">
        <f>IF(TODAY()&lt;E449,"À venir",IF(TODAY()&lt;F449,"En cours","Terminée"))</f>
        <v/>
      </c>
      <c r="J449" t="inlineStr">
        <is>
          <t>Booking.com</t>
        </is>
      </c>
      <c r="K449" t="inlineStr">
        <is>
          <t>En cours</t>
        </is>
      </c>
    </row>
    <row r="450">
      <c r="A450" t="inlineStr">
        <is>
          <t>L-00449</t>
        </is>
      </c>
      <c r="B450" t="inlineStr">
        <is>
          <t>85272-B-1</t>
        </is>
      </c>
      <c r="C450" t="inlineStr">
        <is>
          <t>AE975066</t>
        </is>
      </c>
      <c r="D450" s="4" t="n">
        <v>400</v>
      </c>
      <c r="E450" s="5" t="n">
        <v>46291</v>
      </c>
      <c r="F450" s="5" t="n">
        <v>46298</v>
      </c>
      <c r="G450">
        <f>MAX(1,F450-E450)</f>
        <v/>
      </c>
      <c r="H450" s="4">
        <f>D450*G450</f>
        <v/>
      </c>
      <c r="I450">
        <f>IF(TODAY()&lt;E450,"À venir",IF(TODAY()&lt;F450,"En cours","Terminée"))</f>
        <v/>
      </c>
      <c r="J450" t="inlineStr">
        <is>
          <t>WhatsApp</t>
        </is>
      </c>
      <c r="K450" t="inlineStr">
        <is>
          <t>Réservée</t>
        </is>
      </c>
    </row>
    <row r="451">
      <c r="A451" t="inlineStr">
        <is>
          <t>L-00450</t>
        </is>
      </c>
      <c r="B451" t="inlineStr">
        <is>
          <t>35623-W-1</t>
        </is>
      </c>
      <c r="C451" t="inlineStr">
        <is>
          <t>AA866521</t>
        </is>
      </c>
      <c r="D451" s="4" t="n">
        <v>1220</v>
      </c>
      <c r="E451" s="5" t="n">
        <v>46292</v>
      </c>
      <c r="F451" s="5" t="n">
        <v>46295</v>
      </c>
      <c r="G451">
        <f>MAX(1,F451-E451)</f>
        <v/>
      </c>
      <c r="H451" s="4">
        <f>D451*G451</f>
        <v/>
      </c>
      <c r="I451">
        <f>IF(TODAY()&lt;E451,"À venir",IF(TODAY()&lt;F451,"En cours","Terminée"))</f>
        <v/>
      </c>
      <c r="J451" t="inlineStr">
        <is>
          <t>Facebook</t>
        </is>
      </c>
      <c r="K451" t="inlineStr">
        <is>
          <t>Réservée</t>
        </is>
      </c>
    </row>
    <row r="452">
      <c r="A452" t="inlineStr">
        <is>
          <t>L-00451</t>
        </is>
      </c>
      <c r="B452" t="inlineStr">
        <is>
          <t>62268-B-1</t>
        </is>
      </c>
      <c r="C452" t="inlineStr">
        <is>
          <t>AD835232</t>
        </is>
      </c>
      <c r="D452" s="4" t="n">
        <v>250</v>
      </c>
      <c r="E452" s="5" t="n">
        <v>46292</v>
      </c>
      <c r="F452" s="5" t="n">
        <v>46293</v>
      </c>
      <c r="G452">
        <f>MAX(1,F452-E452)</f>
        <v/>
      </c>
      <c r="H452" s="4">
        <f>D452*G452</f>
        <v/>
      </c>
      <c r="I452">
        <f>IF(TODAY()&lt;E452,"À venir",IF(TODAY()&lt;F452,"En cours","Terminée"))</f>
        <v/>
      </c>
      <c r="J452" t="inlineStr">
        <is>
          <t>Comptoir</t>
        </is>
      </c>
      <c r="K452" t="inlineStr">
        <is>
          <t>Réservée</t>
        </is>
      </c>
    </row>
    <row r="453">
      <c r="A453" t="inlineStr">
        <is>
          <t>L-00452</t>
        </is>
      </c>
      <c r="B453" t="inlineStr">
        <is>
          <t>69221-A-1</t>
        </is>
      </c>
      <c r="C453" t="inlineStr">
        <is>
          <t>CD720352</t>
        </is>
      </c>
      <c r="D453" s="4" t="n">
        <v>1050</v>
      </c>
      <c r="E453" s="5" t="n">
        <v>46292</v>
      </c>
      <c r="F453" s="5" t="n">
        <v>46296</v>
      </c>
      <c r="G453">
        <f>MAX(1,F453-E453)</f>
        <v/>
      </c>
      <c r="H453" s="4">
        <f>D453*G453</f>
        <v/>
      </c>
      <c r="I453">
        <f>IF(TODAY()&lt;E453,"À venir",IF(TODAY()&lt;F453,"En cours","Terminée"))</f>
        <v/>
      </c>
      <c r="J453" t="inlineStr">
        <is>
          <t>WhatsApp</t>
        </is>
      </c>
      <c r="K453" t="inlineStr">
        <is>
          <t>Réservée</t>
        </is>
      </c>
    </row>
    <row r="454">
      <c r="A454" t="inlineStr">
        <is>
          <t>L-00453</t>
        </is>
      </c>
      <c r="B454" t="inlineStr">
        <is>
          <t>97618-A-1</t>
        </is>
      </c>
      <c r="C454" t="inlineStr">
        <is>
          <t>AD633832</t>
        </is>
      </c>
      <c r="D454" s="4" t="n">
        <v>420</v>
      </c>
      <c r="E454" s="5" t="n">
        <v>46292</v>
      </c>
      <c r="F454" s="5" t="n">
        <v>46294</v>
      </c>
      <c r="G454">
        <f>MAX(1,F454-E454)</f>
        <v/>
      </c>
      <c r="H454" s="4">
        <f>D454*G454</f>
        <v/>
      </c>
      <c r="I454">
        <f>IF(TODAY()&lt;E454,"À venir",IF(TODAY()&lt;F454,"En cours","Terminée"))</f>
        <v/>
      </c>
      <c r="J454" t="inlineStr">
        <is>
          <t>Site web</t>
        </is>
      </c>
      <c r="K454" t="inlineStr">
        <is>
          <t>Réservée</t>
        </is>
      </c>
    </row>
    <row r="455">
      <c r="A455" t="inlineStr">
        <is>
          <t>L-00454</t>
        </is>
      </c>
      <c r="B455" t="inlineStr">
        <is>
          <t>22080-H-1</t>
        </is>
      </c>
      <c r="C455" t="inlineStr">
        <is>
          <t>G1385180</t>
        </is>
      </c>
      <c r="D455" s="4" t="n">
        <v>280</v>
      </c>
      <c r="E455" s="5" t="n">
        <v>46293</v>
      </c>
      <c r="F455" s="5" t="n">
        <v>46295</v>
      </c>
      <c r="G455">
        <f>MAX(1,F455-E455)</f>
        <v/>
      </c>
      <c r="H455" s="4">
        <f>D455*G455</f>
        <v/>
      </c>
      <c r="I455">
        <f>IF(TODAY()&lt;E455,"À venir",IF(TODAY()&lt;F455,"En cours","Terminée"))</f>
        <v/>
      </c>
      <c r="J455" t="inlineStr">
        <is>
          <t>Comptoir</t>
        </is>
      </c>
      <c r="K455" t="inlineStr">
        <is>
          <t>Réservée</t>
        </is>
      </c>
    </row>
    <row r="456">
      <c r="A456" t="inlineStr">
        <is>
          <t>L-00455</t>
        </is>
      </c>
      <c r="B456" t="inlineStr">
        <is>
          <t>22394-A-1</t>
        </is>
      </c>
      <c r="C456" t="inlineStr">
        <is>
          <t>G1948412</t>
        </is>
      </c>
      <c r="D456" s="4" t="n">
        <v>290</v>
      </c>
      <c r="E456" s="5" t="n">
        <v>46293</v>
      </c>
      <c r="F456" s="5" t="n">
        <v>46307</v>
      </c>
      <c r="G456">
        <f>MAX(1,F456-E456)</f>
        <v/>
      </c>
      <c r="H456" s="4">
        <f>D456*G456</f>
        <v/>
      </c>
      <c r="I456">
        <f>IF(TODAY()&lt;E456,"À venir",IF(TODAY()&lt;F456,"En cours","Terminée"))</f>
        <v/>
      </c>
      <c r="J456" t="inlineStr">
        <is>
          <t>WhatsApp</t>
        </is>
      </c>
      <c r="K456" t="inlineStr">
        <is>
          <t>Réservée</t>
        </is>
      </c>
    </row>
    <row r="457">
      <c r="A457" t="inlineStr">
        <is>
          <t>L-00456</t>
        </is>
      </c>
      <c r="B457" t="inlineStr">
        <is>
          <t>71302-W-1</t>
        </is>
      </c>
      <c r="C457" t="inlineStr">
        <is>
          <t>AA916889</t>
        </is>
      </c>
      <c r="D457" s="4" t="n">
        <v>320</v>
      </c>
      <c r="E457" s="5" t="n">
        <v>46293</v>
      </c>
      <c r="F457" s="5" t="n">
        <v>46300</v>
      </c>
      <c r="G457">
        <f>MAX(1,F457-E457)</f>
        <v/>
      </c>
      <c r="H457" s="4">
        <f>D457*G457</f>
        <v/>
      </c>
      <c r="I457">
        <f>IF(TODAY()&lt;E457,"À venir",IF(TODAY()&lt;F457,"En cours","Terminée"))</f>
        <v/>
      </c>
      <c r="J457" t="inlineStr">
        <is>
          <t>Téléphone</t>
        </is>
      </c>
      <c r="K457" t="inlineStr">
        <is>
          <t>Réservée</t>
        </is>
      </c>
    </row>
    <row r="458">
      <c r="A458" t="inlineStr">
        <is>
          <t>L-00457</t>
        </is>
      </c>
      <c r="B458" t="inlineStr">
        <is>
          <t>71994-D-1</t>
        </is>
      </c>
      <c r="C458" t="inlineStr">
        <is>
          <t>AE982041</t>
        </is>
      </c>
      <c r="D458" s="4" t="n">
        <v>540</v>
      </c>
      <c r="E458" s="5" t="n">
        <v>46293</v>
      </c>
      <c r="F458" s="5" t="n">
        <v>46297</v>
      </c>
      <c r="G458">
        <f>MAX(1,F458-E458)</f>
        <v/>
      </c>
      <c r="H458" s="4">
        <f>D458*G458</f>
        <v/>
      </c>
      <c r="I458">
        <f>IF(TODAY()&lt;E458,"À venir",IF(TODAY()&lt;F458,"En cours","Terminée"))</f>
        <v/>
      </c>
      <c r="J458" t="inlineStr">
        <is>
          <t>WhatsApp</t>
        </is>
      </c>
      <c r="K458" t="inlineStr">
        <is>
          <t>Réservée</t>
        </is>
      </c>
    </row>
    <row r="459">
      <c r="A459" t="inlineStr">
        <is>
          <t>L-00458</t>
        </is>
      </c>
      <c r="B459" t="inlineStr">
        <is>
          <t>75329-D-1</t>
        </is>
      </c>
      <c r="C459" t="inlineStr">
        <is>
          <t>EE210603</t>
        </is>
      </c>
      <c r="D459" s="4" t="n">
        <v>470</v>
      </c>
      <c r="E459" s="5" t="n">
        <v>46293</v>
      </c>
      <c r="F459" s="5" t="n">
        <v>46295</v>
      </c>
      <c r="G459">
        <f>MAX(1,F459-E459)</f>
        <v/>
      </c>
      <c r="H459" s="4">
        <f>D459*G459</f>
        <v/>
      </c>
      <c r="I459">
        <f>IF(TODAY()&lt;E459,"À venir",IF(TODAY()&lt;F459,"En cours","Terminée"))</f>
        <v/>
      </c>
      <c r="J459" t="inlineStr">
        <is>
          <t>Instagram</t>
        </is>
      </c>
      <c r="K459" t="inlineStr">
        <is>
          <t>Réservée</t>
        </is>
      </c>
    </row>
    <row r="460">
      <c r="A460" t="inlineStr">
        <is>
          <t>L-00459</t>
        </is>
      </c>
      <c r="B460" t="inlineStr">
        <is>
          <t>76897-B-1</t>
        </is>
      </c>
      <c r="C460" t="inlineStr">
        <is>
          <t>G1943814</t>
        </is>
      </c>
      <c r="D460" s="4" t="n">
        <v>530</v>
      </c>
      <c r="E460" s="5" t="n">
        <v>46293</v>
      </c>
      <c r="F460" s="5" t="n">
        <v>46294</v>
      </c>
      <c r="G460">
        <f>MAX(1,F460-E460)</f>
        <v/>
      </c>
      <c r="H460" s="4">
        <f>D460*G460</f>
        <v/>
      </c>
      <c r="I460">
        <f>IF(TODAY()&lt;E460,"À venir",IF(TODAY()&lt;F460,"En cours","Terminée"))</f>
        <v/>
      </c>
      <c r="J460" t="inlineStr">
        <is>
          <t>Comptoir</t>
        </is>
      </c>
      <c r="K460" t="inlineStr">
        <is>
          <t>Réservée</t>
        </is>
      </c>
    </row>
    <row r="461">
      <c r="A461" t="inlineStr">
        <is>
          <t>L-00460</t>
        </is>
      </c>
      <c r="B461" t="inlineStr">
        <is>
          <t>77893-H-1</t>
        </is>
      </c>
      <c r="C461" t="inlineStr">
        <is>
          <t>A4114424</t>
        </is>
      </c>
      <c r="D461" s="4" t="n">
        <v>250</v>
      </c>
      <c r="E461" s="5" t="n">
        <v>46293</v>
      </c>
      <c r="F461" s="5" t="n">
        <v>46296</v>
      </c>
      <c r="G461">
        <f>MAX(1,F461-E461)</f>
        <v/>
      </c>
      <c r="H461" s="4">
        <f>D461*G461</f>
        <v/>
      </c>
      <c r="I461">
        <f>IF(TODAY()&lt;E461,"À venir",IF(TODAY()&lt;F461,"En cours","Terminée"))</f>
        <v/>
      </c>
      <c r="J461" t="inlineStr">
        <is>
          <t>Instagram</t>
        </is>
      </c>
      <c r="K461" t="inlineStr">
        <is>
          <t>Réservée</t>
        </is>
      </c>
    </row>
    <row r="462">
      <c r="A462" t="inlineStr">
        <is>
          <t>L-00461</t>
        </is>
      </c>
      <c r="B462" t="inlineStr">
        <is>
          <t>83662-D-1</t>
        </is>
      </c>
      <c r="C462" t="inlineStr">
        <is>
          <t>BE121352</t>
        </is>
      </c>
      <c r="D462" s="4" t="n">
        <v>370</v>
      </c>
      <c r="E462" s="5" t="n">
        <v>46293</v>
      </c>
      <c r="F462" s="5" t="n">
        <v>46296</v>
      </c>
      <c r="G462">
        <f>MAX(1,F462-E462)</f>
        <v/>
      </c>
      <c r="H462" s="4">
        <f>D462*G462</f>
        <v/>
      </c>
      <c r="I462">
        <f>IF(TODAY()&lt;E462,"À venir",IF(TODAY()&lt;F462,"En cours","Terminée"))</f>
        <v/>
      </c>
      <c r="J462" t="inlineStr">
        <is>
          <t>Facebook</t>
        </is>
      </c>
      <c r="K462" t="inlineStr">
        <is>
          <t>Réservée</t>
        </is>
      </c>
    </row>
    <row r="463">
      <c r="A463" t="inlineStr">
        <is>
          <t>L-00462</t>
        </is>
      </c>
      <c r="B463" t="inlineStr">
        <is>
          <t>91567-W-1</t>
        </is>
      </c>
      <c r="C463" t="inlineStr">
        <is>
          <t>CD649429</t>
        </is>
      </c>
      <c r="D463" s="4" t="n">
        <v>190</v>
      </c>
      <c r="E463" s="5" t="n">
        <v>46293</v>
      </c>
      <c r="F463" s="5" t="n">
        <v>46296</v>
      </c>
      <c r="G463">
        <f>MAX(1,F463-E463)</f>
        <v/>
      </c>
      <c r="H463" s="4">
        <f>D463*G463</f>
        <v/>
      </c>
      <c r="I463">
        <f>IF(TODAY()&lt;E463,"À venir",IF(TODAY()&lt;F463,"En cours","Terminée"))</f>
        <v/>
      </c>
      <c r="J463" t="inlineStr">
        <is>
          <t>WhatsApp</t>
        </is>
      </c>
      <c r="K463" t="inlineStr">
        <is>
          <t>Réservée</t>
        </is>
      </c>
    </row>
    <row r="464">
      <c r="A464" t="inlineStr">
        <is>
          <t>L-00463</t>
        </is>
      </c>
      <c r="B464" t="inlineStr">
        <is>
          <t>21066-H-1</t>
        </is>
      </c>
      <c r="C464" t="inlineStr">
        <is>
          <t>G1385180</t>
        </is>
      </c>
      <c r="D464" s="4" t="n">
        <v>470</v>
      </c>
      <c r="E464" s="5" t="n">
        <v>46294</v>
      </c>
      <c r="F464" s="5" t="n">
        <v>46301</v>
      </c>
      <c r="G464">
        <f>MAX(1,F464-E464)</f>
        <v/>
      </c>
      <c r="H464" s="4">
        <f>D464*G464</f>
        <v/>
      </c>
      <c r="I464">
        <f>IF(TODAY()&lt;E464,"À venir",IF(TODAY()&lt;F464,"En cours","Terminée"))</f>
        <v/>
      </c>
      <c r="J464" t="inlineStr">
        <is>
          <t>Comptoir</t>
        </is>
      </c>
      <c r="K464" t="inlineStr">
        <is>
          <t>Réservée</t>
        </is>
      </c>
    </row>
    <row r="465">
      <c r="A465" t="inlineStr">
        <is>
          <t>L-00464</t>
        </is>
      </c>
      <c r="B465" t="inlineStr">
        <is>
          <t>81442-B-1</t>
        </is>
      </c>
      <c r="C465" t="inlineStr">
        <is>
          <t>DA287805</t>
        </is>
      </c>
      <c r="D465" s="4" t="n">
        <v>390</v>
      </c>
      <c r="E465" s="5" t="n">
        <v>46294</v>
      </c>
      <c r="F465" s="5" t="n">
        <v>46299</v>
      </c>
      <c r="G465">
        <f>MAX(1,F465-E465)</f>
        <v/>
      </c>
      <c r="H465" s="4">
        <f>D465*G465</f>
        <v/>
      </c>
      <c r="I465">
        <f>IF(TODAY()&lt;E465,"À venir",IF(TODAY()&lt;F465,"En cours","Terminée"))</f>
        <v/>
      </c>
      <c r="J465" t="inlineStr">
        <is>
          <t>Site web</t>
        </is>
      </c>
      <c r="K465" t="inlineStr">
        <is>
          <t>Réservée</t>
        </is>
      </c>
    </row>
    <row r="466">
      <c r="A466" t="inlineStr">
        <is>
          <t>L-00465</t>
        </is>
      </c>
      <c r="B466" t="inlineStr">
        <is>
          <t>47649-D-1</t>
        </is>
      </c>
      <c r="C466" t="inlineStr">
        <is>
          <t>EE210603</t>
        </is>
      </c>
      <c r="D466" s="4" t="n">
        <v>230</v>
      </c>
      <c r="E466" s="5" t="n">
        <v>46295</v>
      </c>
      <c r="F466" s="5" t="n">
        <v>46302</v>
      </c>
      <c r="G466">
        <f>MAX(1,F466-E466)</f>
        <v/>
      </c>
      <c r="H466" s="4">
        <f>D466*G466</f>
        <v/>
      </c>
      <c r="I466">
        <f>IF(TODAY()&lt;E466,"À venir",IF(TODAY()&lt;F466,"En cours","Terminée"))</f>
        <v/>
      </c>
      <c r="J466" t="inlineStr">
        <is>
          <t>Téléphone</t>
        </is>
      </c>
      <c r="K466" t="inlineStr">
        <is>
          <t>Réservée</t>
        </is>
      </c>
    </row>
    <row r="467">
      <c r="A467" t="inlineStr">
        <is>
          <t>L-00466</t>
        </is>
      </c>
      <c r="B467" t="inlineStr">
        <is>
          <t>54616-W-1</t>
        </is>
      </c>
      <c r="C467" t="inlineStr">
        <is>
          <t>G4386520</t>
        </is>
      </c>
      <c r="D467" s="4" t="n">
        <v>190</v>
      </c>
      <c r="E467" s="5" t="n">
        <v>46295</v>
      </c>
      <c r="F467" s="5" t="n">
        <v>46298</v>
      </c>
      <c r="G467">
        <f>MAX(1,F467-E467)</f>
        <v/>
      </c>
      <c r="H467" s="4">
        <f>D467*G467</f>
        <v/>
      </c>
      <c r="I467">
        <f>IF(TODAY()&lt;E467,"À venir",IF(TODAY()&lt;F467,"En cours","Terminée"))</f>
        <v/>
      </c>
      <c r="J467" t="inlineStr">
        <is>
          <t>Instagram</t>
        </is>
      </c>
      <c r="K467" t="inlineStr">
        <is>
          <t>Réservée</t>
        </is>
      </c>
    </row>
    <row r="468">
      <c r="A468" t="inlineStr">
        <is>
          <t>L-00467</t>
        </is>
      </c>
      <c r="B468" t="inlineStr">
        <is>
          <t>62268-B-1</t>
        </is>
      </c>
      <c r="C468" t="inlineStr">
        <is>
          <t>DA819171</t>
        </is>
      </c>
      <c r="D468" s="4" t="n">
        <v>250</v>
      </c>
      <c r="E468" s="5" t="n">
        <v>46295</v>
      </c>
      <c r="F468" s="5" t="n">
        <v>46298</v>
      </c>
      <c r="G468">
        <f>MAX(1,F468-E468)</f>
        <v/>
      </c>
      <c r="H468" s="4">
        <f>D468*G468</f>
        <v/>
      </c>
      <c r="I468">
        <f>IF(TODAY()&lt;E468,"À venir",IF(TODAY()&lt;F468,"En cours","Terminée"))</f>
        <v/>
      </c>
      <c r="J468" t="inlineStr">
        <is>
          <t>WhatsApp</t>
        </is>
      </c>
      <c r="K468" t="inlineStr">
        <is>
          <t>Réservée</t>
        </is>
      </c>
    </row>
    <row r="469">
      <c r="A469" t="inlineStr">
        <is>
          <t>L-00468</t>
        </is>
      </c>
      <c r="B469" t="inlineStr">
        <is>
          <t>84923-D-1</t>
        </is>
      </c>
      <c r="C469" t="inlineStr">
        <is>
          <t>G9274426</t>
        </is>
      </c>
      <c r="D469" s="4" t="n">
        <v>560</v>
      </c>
      <c r="E469" s="5" t="n">
        <v>46295</v>
      </c>
      <c r="F469" s="5" t="n">
        <v>46299</v>
      </c>
      <c r="G469">
        <f>MAX(1,F469-E469)</f>
        <v/>
      </c>
      <c r="H469" s="4">
        <f>D469*G469</f>
        <v/>
      </c>
      <c r="I469">
        <f>IF(TODAY()&lt;E469,"À venir",IF(TODAY()&lt;F469,"En cours","Terminée"))</f>
        <v/>
      </c>
      <c r="J469" t="inlineStr">
        <is>
          <t>WhatsApp</t>
        </is>
      </c>
      <c r="K469" t="inlineStr">
        <is>
          <t>Réservée</t>
        </is>
      </c>
    </row>
    <row r="470">
      <c r="A470" t="inlineStr">
        <is>
          <t>L-00469</t>
        </is>
      </c>
      <c r="B470" t="inlineStr">
        <is>
          <t>88664-D-1</t>
        </is>
      </c>
      <c r="C470" t="inlineStr">
        <is>
          <t>AE428361</t>
        </is>
      </c>
      <c r="D470" s="4" t="n">
        <v>310</v>
      </c>
      <c r="E470" s="5" t="n">
        <v>46295</v>
      </c>
      <c r="F470" s="5" t="n">
        <v>46297</v>
      </c>
      <c r="G470">
        <f>MAX(1,F470-E470)</f>
        <v/>
      </c>
      <c r="H470" s="4">
        <f>D470*G470</f>
        <v/>
      </c>
      <c r="I470">
        <f>IF(TODAY()&lt;E470,"À venir",IF(TODAY()&lt;F470,"En cours","Terminée"))</f>
        <v/>
      </c>
      <c r="J470" t="inlineStr">
        <is>
          <t>WhatsApp</t>
        </is>
      </c>
      <c r="K470" t="inlineStr">
        <is>
          <t>Réservée</t>
        </is>
      </c>
    </row>
    <row r="471">
      <c r="A471" t="inlineStr">
        <is>
          <t>L-00470</t>
        </is>
      </c>
      <c r="B471" t="inlineStr">
        <is>
          <t>88778-A-1</t>
        </is>
      </c>
      <c r="C471" t="inlineStr">
        <is>
          <t>BE195212</t>
        </is>
      </c>
      <c r="D471" s="4" t="n">
        <v>200</v>
      </c>
      <c r="E471" s="5" t="n">
        <v>46295</v>
      </c>
      <c r="F471" s="5" t="n">
        <v>46298</v>
      </c>
      <c r="G471">
        <f>MAX(1,F471-E471)</f>
        <v/>
      </c>
      <c r="H471" s="4">
        <f>D471*G471</f>
        <v/>
      </c>
      <c r="I471">
        <f>IF(TODAY()&lt;E471,"À venir",IF(TODAY()&lt;F471,"En cours","Terminée"))</f>
        <v/>
      </c>
      <c r="J471" t="inlineStr">
        <is>
          <t>Booking.com</t>
        </is>
      </c>
      <c r="K471" t="inlineStr">
        <is>
          <t>Réservée</t>
        </is>
      </c>
    </row>
    <row r="472">
      <c r="A472" t="inlineStr">
        <is>
          <t>L-00471</t>
        </is>
      </c>
      <c r="B472" t="inlineStr">
        <is>
          <t>72769-D-1</t>
        </is>
      </c>
      <c r="C472" t="inlineStr">
        <is>
          <t>AE201114</t>
        </is>
      </c>
      <c r="D472" s="4" t="n">
        <v>190</v>
      </c>
      <c r="E472" s="5" t="n">
        <v>46296</v>
      </c>
      <c r="F472" s="5" t="n">
        <v>46297</v>
      </c>
      <c r="G472">
        <f>MAX(1,F472-E472)</f>
        <v/>
      </c>
      <c r="H472" s="4">
        <f>D472*G472</f>
        <v/>
      </c>
      <c r="I472">
        <f>IF(TODAY()&lt;E472,"À venir",IF(TODAY()&lt;F472,"En cours","Terminée"))</f>
        <v/>
      </c>
      <c r="J472" t="inlineStr">
        <is>
          <t>WhatsApp</t>
        </is>
      </c>
      <c r="K472" t="inlineStr">
        <is>
          <t>Réservée</t>
        </is>
      </c>
    </row>
    <row r="473">
      <c r="A473" t="inlineStr">
        <is>
          <t>L-00472</t>
        </is>
      </c>
      <c r="B473" t="inlineStr">
        <is>
          <t>62064-H-1</t>
        </is>
      </c>
      <c r="C473" t="inlineStr">
        <is>
          <t>EE225893</t>
        </is>
      </c>
      <c r="D473" s="4" t="n">
        <v>280</v>
      </c>
      <c r="E473" s="5" t="n">
        <v>46298</v>
      </c>
      <c r="F473" s="5" t="n">
        <v>46300</v>
      </c>
      <c r="G473">
        <f>MAX(1,F473-E473)</f>
        <v/>
      </c>
      <c r="H473" s="4">
        <f>D473*G473</f>
        <v/>
      </c>
      <c r="I473">
        <f>IF(TODAY()&lt;E473,"À venir",IF(TODAY()&lt;F473,"En cours","Terminée"))</f>
        <v/>
      </c>
      <c r="J473" t="inlineStr">
        <is>
          <t>Téléphone</t>
        </is>
      </c>
      <c r="K473" t="inlineStr">
        <is>
          <t>Réservée</t>
        </is>
      </c>
    </row>
    <row r="474">
      <c r="A474" t="inlineStr">
        <is>
          <t>L-00473</t>
        </is>
      </c>
      <c r="B474" t="inlineStr">
        <is>
          <t>88664-D-1</t>
        </is>
      </c>
      <c r="C474" t="inlineStr">
        <is>
          <t>CD649429</t>
        </is>
      </c>
      <c r="D474" s="4" t="n">
        <v>290</v>
      </c>
      <c r="E474" s="5" t="n">
        <v>46300</v>
      </c>
      <c r="F474" s="5" t="n">
        <v>46305</v>
      </c>
      <c r="G474">
        <f>MAX(1,F474-E474)</f>
        <v/>
      </c>
      <c r="H474" s="4">
        <f>D474*G474</f>
        <v/>
      </c>
      <c r="I474">
        <f>IF(TODAY()&lt;E474,"À venir",IF(TODAY()&lt;F474,"En cours","Terminée"))</f>
        <v/>
      </c>
      <c r="J474" t="inlineStr">
        <is>
          <t>Comptoir</t>
        </is>
      </c>
      <c r="K474" t="inlineStr">
        <is>
          <t>Réservée</t>
        </is>
      </c>
    </row>
    <row r="475">
      <c r="A475" t="inlineStr">
        <is>
          <t>L-00474</t>
        </is>
      </c>
      <c r="B475" t="inlineStr">
        <is>
          <t>33992-B-1</t>
        </is>
      </c>
      <c r="C475" t="inlineStr">
        <is>
          <t>IT1892934</t>
        </is>
      </c>
      <c r="D475" s="4" t="n">
        <v>440</v>
      </c>
      <c r="E475" s="5" t="n">
        <v>46306</v>
      </c>
      <c r="F475" s="5" t="n">
        <v>46309</v>
      </c>
      <c r="G475">
        <f>MAX(1,F475-E475)</f>
        <v/>
      </c>
      <c r="H475" s="4">
        <f>D475*G475</f>
        <v/>
      </c>
      <c r="I475">
        <f>IF(TODAY()&lt;E475,"À venir",IF(TODAY()&lt;F475,"En cours","Terminée"))</f>
        <v/>
      </c>
      <c r="J475" t="inlineStr">
        <is>
          <t>Facebook</t>
        </is>
      </c>
      <c r="K475" t="inlineStr">
        <is>
          <t>Réservée</t>
        </is>
      </c>
    </row>
    <row r="476">
      <c r="A476" t="inlineStr">
        <is>
          <t>L-00475</t>
        </is>
      </c>
      <c r="B476" t="inlineStr">
        <is>
          <t>88778-A-1</t>
        </is>
      </c>
      <c r="C476" t="inlineStr">
        <is>
          <t>EE613807</t>
        </is>
      </c>
      <c r="D476" s="4" t="n">
        <v>210</v>
      </c>
      <c r="E476" s="5" t="n">
        <v>46306</v>
      </c>
      <c r="F476" s="5" t="n">
        <v>46309</v>
      </c>
      <c r="G476">
        <f>MAX(1,F476-E476)</f>
        <v/>
      </c>
      <c r="H476" s="4">
        <f>D476*G476</f>
        <v/>
      </c>
      <c r="I476">
        <f>IF(TODAY()&lt;E476,"À venir",IF(TODAY()&lt;F476,"En cours","Terminée"))</f>
        <v/>
      </c>
      <c r="J476" t="inlineStr">
        <is>
          <t>WhatsApp</t>
        </is>
      </c>
      <c r="K476" t="inlineStr">
        <is>
          <t>Réservée</t>
        </is>
      </c>
    </row>
    <row r="477">
      <c r="A477" t="inlineStr">
        <is>
          <t>L-00476</t>
        </is>
      </c>
      <c r="B477" t="inlineStr">
        <is>
          <t>36193-W-1</t>
        </is>
      </c>
      <c r="C477" t="inlineStr">
        <is>
          <t>BE992685</t>
        </is>
      </c>
      <c r="D477" s="4" t="n">
        <v>380</v>
      </c>
      <c r="E477" s="5" t="n">
        <v>46307</v>
      </c>
      <c r="F477" s="5" t="n">
        <v>46309</v>
      </c>
      <c r="G477">
        <f>MAX(1,F477-E477)</f>
        <v/>
      </c>
      <c r="H477" s="4">
        <f>D477*G477</f>
        <v/>
      </c>
      <c r="I477">
        <f>IF(TODAY()&lt;E477,"À venir",IF(TODAY()&lt;F477,"En cours","Terminée"))</f>
        <v/>
      </c>
      <c r="J477" t="inlineStr">
        <is>
          <t>Téléphone</t>
        </is>
      </c>
      <c r="K477" t="inlineStr">
        <is>
          <t>Réservée</t>
        </is>
      </c>
    </row>
    <row r="478">
      <c r="A478" t="inlineStr">
        <is>
          <t>L-00477</t>
        </is>
      </c>
      <c r="B478" t="inlineStr">
        <is>
          <t>72769-D-1</t>
        </is>
      </c>
      <c r="C478" t="inlineStr">
        <is>
          <t>A4430872</t>
        </is>
      </c>
      <c r="D478" s="4" t="n">
        <v>180</v>
      </c>
      <c r="E478" s="5" t="n">
        <v>46308</v>
      </c>
      <c r="F478" s="5" t="n">
        <v>46311</v>
      </c>
      <c r="G478">
        <f>MAX(1,F478-E478)</f>
        <v/>
      </c>
      <c r="H478" s="4">
        <f>D478*G478</f>
        <v/>
      </c>
      <c r="I478">
        <f>IF(TODAY()&lt;E478,"À venir",IF(TODAY()&lt;F478,"En cours","Terminée"))</f>
        <v/>
      </c>
      <c r="J478" t="inlineStr">
        <is>
          <t>Instagram</t>
        </is>
      </c>
      <c r="K478" t="inlineStr">
        <is>
          <t>Réservée</t>
        </is>
      </c>
    </row>
    <row r="479">
      <c r="A479" t="inlineStr">
        <is>
          <t>L-00478</t>
        </is>
      </c>
      <c r="B479" t="inlineStr">
        <is>
          <t>75329-D-1</t>
        </is>
      </c>
      <c r="C479" t="inlineStr">
        <is>
          <t>AE278482</t>
        </is>
      </c>
      <c r="D479" s="4" t="n">
        <v>450</v>
      </c>
      <c r="E479" s="5" t="n">
        <v>46309</v>
      </c>
      <c r="F479" s="5" t="n">
        <v>46312</v>
      </c>
      <c r="G479">
        <f>MAX(1,F479-E479)</f>
        <v/>
      </c>
      <c r="H479" s="4">
        <f>D479*G479</f>
        <v/>
      </c>
      <c r="I479">
        <f>IF(TODAY()&lt;E479,"À venir",IF(TODAY()&lt;F479,"En cours","Terminée"))</f>
        <v/>
      </c>
      <c r="J479" t="inlineStr">
        <is>
          <t>Téléphone</t>
        </is>
      </c>
      <c r="K479" t="inlineStr">
        <is>
          <t>Réservée</t>
        </is>
      </c>
    </row>
    <row r="480">
      <c r="A480" t="inlineStr">
        <is>
          <t>L-00479</t>
        </is>
      </c>
      <c r="B480" t="inlineStr">
        <is>
          <t>88778-A-1</t>
        </is>
      </c>
      <c r="C480" t="inlineStr">
        <is>
          <t>AA470174</t>
        </is>
      </c>
      <c r="D480" s="4" t="n">
        <v>210</v>
      </c>
      <c r="E480" s="5" t="n">
        <v>46311</v>
      </c>
      <c r="F480" s="5" t="n">
        <v>46313</v>
      </c>
      <c r="G480">
        <f>MAX(1,F480-E480)</f>
        <v/>
      </c>
      <c r="H480" s="4">
        <f>D480*G480</f>
        <v/>
      </c>
      <c r="I480">
        <f>IF(TODAY()&lt;E480,"À venir",IF(TODAY()&lt;F480,"En cours","Terminée"))</f>
        <v/>
      </c>
      <c r="J480" t="inlineStr">
        <is>
          <t>Instagram</t>
        </is>
      </c>
      <c r="K480" t="inlineStr">
        <is>
          <t>Réservée</t>
        </is>
      </c>
    </row>
    <row r="481">
      <c r="A481" t="inlineStr">
        <is>
          <t>L-00480</t>
        </is>
      </c>
      <c r="B481" t="inlineStr">
        <is>
          <t>76545-W-1</t>
        </is>
      </c>
      <c r="C481" t="inlineStr">
        <is>
          <t>BK193941</t>
        </is>
      </c>
      <c r="D481" s="4" t="n">
        <v>530</v>
      </c>
      <c r="E481" s="5" t="n">
        <v>46312</v>
      </c>
      <c r="F481" s="5" t="n">
        <v>46323</v>
      </c>
      <c r="G481">
        <f>MAX(1,F481-E481)</f>
        <v/>
      </c>
      <c r="H481" s="4">
        <f>D481*G481</f>
        <v/>
      </c>
      <c r="I481">
        <f>IF(TODAY()&lt;E481,"À venir",IF(TODAY()&lt;F481,"En cours","Terminée"))</f>
        <v/>
      </c>
      <c r="J481" t="inlineStr">
        <is>
          <t>Téléphone</t>
        </is>
      </c>
      <c r="K481" t="inlineStr">
        <is>
          <t>Réservée</t>
        </is>
      </c>
    </row>
    <row r="482">
      <c r="A482" t="inlineStr">
        <is>
          <t>L-00481</t>
        </is>
      </c>
      <c r="B482" t="inlineStr">
        <is>
          <t>85272-B-1</t>
        </is>
      </c>
      <c r="C482" t="inlineStr">
        <is>
          <t>AA411366</t>
        </is>
      </c>
      <c r="D482" s="4" t="n">
        <v>460</v>
      </c>
      <c r="E482" s="5" t="n">
        <v>46313</v>
      </c>
      <c r="F482" s="5" t="n">
        <v>46317</v>
      </c>
      <c r="G482">
        <f>MAX(1,F482-E482)</f>
        <v/>
      </c>
      <c r="H482" s="4">
        <f>D482*G482</f>
        <v/>
      </c>
      <c r="I482">
        <f>IF(TODAY()&lt;E482,"À venir",IF(TODAY()&lt;F482,"En cours","Terminée"))</f>
        <v/>
      </c>
      <c r="J482" t="inlineStr">
        <is>
          <t>Site web</t>
        </is>
      </c>
      <c r="K482" t="inlineStr">
        <is>
          <t>Réservée</t>
        </is>
      </c>
    </row>
    <row r="483">
      <c r="A483" t="inlineStr">
        <is>
          <t>L-00482</t>
        </is>
      </c>
      <c r="B483" t="inlineStr">
        <is>
          <t>71994-D-1</t>
        </is>
      </c>
      <c r="C483" t="inlineStr">
        <is>
          <t>EE722487</t>
        </is>
      </c>
      <c r="D483" s="4" t="n">
        <v>570</v>
      </c>
      <c r="E483" s="5" t="n">
        <v>46314</v>
      </c>
      <c r="F483" s="5" t="n">
        <v>46319</v>
      </c>
      <c r="G483">
        <f>MAX(1,F483-E483)</f>
        <v/>
      </c>
      <c r="H483" s="4">
        <f>D483*G483</f>
        <v/>
      </c>
      <c r="I483">
        <f>IF(TODAY()&lt;E483,"À venir",IF(TODAY()&lt;F483,"En cours","Terminée"))</f>
        <v/>
      </c>
      <c r="J483" t="inlineStr">
        <is>
          <t>WhatsApp</t>
        </is>
      </c>
      <c r="K483" t="inlineStr">
        <is>
          <t>Réservée</t>
        </is>
      </c>
    </row>
    <row r="484">
      <c r="A484" t="inlineStr">
        <is>
          <t>L-00483</t>
        </is>
      </c>
      <c r="B484" t="inlineStr">
        <is>
          <t>88664-D-1</t>
        </is>
      </c>
      <c r="C484" t="inlineStr">
        <is>
          <t>BE996341</t>
        </is>
      </c>
      <c r="D484" s="4" t="n">
        <v>290</v>
      </c>
      <c r="E484" s="5" t="n">
        <v>46314</v>
      </c>
      <c r="F484" s="5" t="n">
        <v>46317</v>
      </c>
      <c r="G484">
        <f>MAX(1,F484-E484)</f>
        <v/>
      </c>
      <c r="H484" s="4">
        <f>D484*G484</f>
        <v/>
      </c>
      <c r="I484">
        <f>IF(TODAY()&lt;E484,"À venir",IF(TODAY()&lt;F484,"En cours","Terminée"))</f>
        <v/>
      </c>
      <c r="J484" t="inlineStr">
        <is>
          <t>WhatsApp</t>
        </is>
      </c>
      <c r="K484" t="inlineStr">
        <is>
          <t>Réservée</t>
        </is>
      </c>
    </row>
    <row r="485">
      <c r="A485" t="inlineStr">
        <is>
          <t>L-00484</t>
        </is>
      </c>
      <c r="B485" t="inlineStr">
        <is>
          <t>21066-H-1</t>
        </is>
      </c>
      <c r="C485" t="inlineStr">
        <is>
          <t>EE722487</t>
        </is>
      </c>
      <c r="D485" s="4" t="n">
        <v>500</v>
      </c>
      <c r="E485" s="5" t="n">
        <v>46315</v>
      </c>
      <c r="F485" s="5" t="n">
        <v>46318</v>
      </c>
      <c r="G485">
        <f>MAX(1,F485-E485)</f>
        <v/>
      </c>
      <c r="H485" s="4">
        <f>D485*G485</f>
        <v/>
      </c>
      <c r="I485">
        <f>IF(TODAY()&lt;E485,"À venir",IF(TODAY()&lt;F485,"En cours","Terminée"))</f>
        <v/>
      </c>
      <c r="J485" t="inlineStr">
        <is>
          <t>Comptoir</t>
        </is>
      </c>
      <c r="K485" t="inlineStr">
        <is>
          <t>Réservée</t>
        </is>
      </c>
    </row>
    <row r="486">
      <c r="A486" t="inlineStr">
        <is>
          <t>L-00485</t>
        </is>
      </c>
      <c r="B486" t="inlineStr">
        <is>
          <t>71302-W-1</t>
        </is>
      </c>
      <c r="C486" t="inlineStr">
        <is>
          <t>DA228644</t>
        </is>
      </c>
      <c r="D486" s="4" t="n">
        <v>370</v>
      </c>
      <c r="E486" s="5" t="n">
        <v>46315</v>
      </c>
      <c r="F486" s="5" t="n">
        <v>46316</v>
      </c>
      <c r="G486">
        <f>MAX(1,F486-E486)</f>
        <v/>
      </c>
      <c r="H486" s="4">
        <f>D486*G486</f>
        <v/>
      </c>
      <c r="I486">
        <f>IF(TODAY()&lt;E486,"À venir",IF(TODAY()&lt;F486,"En cours","Terminée"))</f>
        <v/>
      </c>
      <c r="J486" t="inlineStr">
        <is>
          <t>WhatsApp</t>
        </is>
      </c>
      <c r="K486" t="inlineStr">
        <is>
          <t>Réservée</t>
        </is>
      </c>
    </row>
    <row r="487">
      <c r="A487" t="inlineStr">
        <is>
          <t>L-00486</t>
        </is>
      </c>
      <c r="B487" t="inlineStr">
        <is>
          <t>23911-A-1</t>
        </is>
      </c>
      <c r="C487" t="inlineStr">
        <is>
          <t>CD550114</t>
        </is>
      </c>
      <c r="D487" s="4" t="n">
        <v>620</v>
      </c>
      <c r="E487" s="5" t="n">
        <v>46316</v>
      </c>
      <c r="F487" s="5" t="n">
        <v>46321</v>
      </c>
      <c r="G487">
        <f>MAX(1,F487-E487)</f>
        <v/>
      </c>
      <c r="H487" s="4">
        <f>D487*G487</f>
        <v/>
      </c>
      <c r="I487">
        <f>IF(TODAY()&lt;E487,"À venir",IF(TODAY()&lt;F487,"En cours","Terminée"))</f>
        <v/>
      </c>
      <c r="J487" t="inlineStr">
        <is>
          <t>Booking.com</t>
        </is>
      </c>
      <c r="K487" t="inlineStr">
        <is>
          <t>Réservée</t>
        </is>
      </c>
    </row>
    <row r="488">
      <c r="A488" t="inlineStr">
        <is>
          <t>L-00487</t>
        </is>
      </c>
      <c r="B488" t="inlineStr">
        <is>
          <t>75329-D-1</t>
        </is>
      </c>
      <c r="C488" t="inlineStr">
        <is>
          <t>CD298236</t>
        </is>
      </c>
      <c r="D488" s="4" t="n">
        <v>470</v>
      </c>
      <c r="E488" s="5" t="n">
        <v>46317</v>
      </c>
      <c r="F488" s="5" t="n">
        <v>46318</v>
      </c>
      <c r="G488">
        <f>MAX(1,F488-E488)</f>
        <v/>
      </c>
      <c r="H488" s="4">
        <f>D488*G488</f>
        <v/>
      </c>
      <c r="I488">
        <f>IF(TODAY()&lt;E488,"À venir",IF(TODAY()&lt;F488,"En cours","Terminée"))</f>
        <v/>
      </c>
      <c r="J488" t="inlineStr">
        <is>
          <t>Booking.com</t>
        </is>
      </c>
      <c r="K488" t="inlineStr">
        <is>
          <t>Réservée</t>
        </is>
      </c>
    </row>
    <row r="489">
      <c r="A489" t="inlineStr">
        <is>
          <t>L-00488</t>
        </is>
      </c>
      <c r="B489" t="inlineStr">
        <is>
          <t>88778-A-1</t>
        </is>
      </c>
      <c r="C489" t="inlineStr">
        <is>
          <t>CD298236</t>
        </is>
      </c>
      <c r="D489" s="4" t="n">
        <v>200</v>
      </c>
      <c r="E489" s="5" t="n">
        <v>46318</v>
      </c>
      <c r="F489" s="5" t="n">
        <v>46321</v>
      </c>
      <c r="G489">
        <f>MAX(1,F489-E489)</f>
        <v/>
      </c>
      <c r="H489" s="4">
        <f>D489*G489</f>
        <v/>
      </c>
      <c r="I489">
        <f>IF(TODAY()&lt;E489,"À venir",IF(TODAY()&lt;F489,"En cours","Terminée"))</f>
        <v/>
      </c>
      <c r="J489" t="inlineStr">
        <is>
          <t>Comptoir</t>
        </is>
      </c>
      <c r="K489" t="inlineStr">
        <is>
          <t>Réservée</t>
        </is>
      </c>
    </row>
    <row r="490">
      <c r="A490" t="inlineStr">
        <is>
          <t>L-00489</t>
        </is>
      </c>
      <c r="B490" t="inlineStr">
        <is>
          <t>74343-B-1</t>
        </is>
      </c>
      <c r="C490" t="inlineStr">
        <is>
          <t>IT1184272</t>
        </is>
      </c>
      <c r="D490" s="4" t="n">
        <v>220</v>
      </c>
      <c r="E490" s="5" t="n">
        <v>46319</v>
      </c>
      <c r="F490" s="5" t="n">
        <v>46321</v>
      </c>
      <c r="G490">
        <f>MAX(1,F490-E490)</f>
        <v/>
      </c>
      <c r="H490" s="4">
        <f>D490*G490</f>
        <v/>
      </c>
      <c r="I490">
        <f>IF(TODAY()&lt;E490,"À venir",IF(TODAY()&lt;F490,"En cours","Terminée"))</f>
        <v/>
      </c>
      <c r="J490" t="inlineStr">
        <is>
          <t>WhatsApp</t>
        </is>
      </c>
      <c r="K490" t="inlineStr">
        <is>
          <t>Réservée</t>
        </is>
      </c>
    </row>
    <row r="491">
      <c r="A491" t="inlineStr">
        <is>
          <t>L-00490</t>
        </is>
      </c>
      <c r="B491" t="inlineStr">
        <is>
          <t>75329-D-1</t>
        </is>
      </c>
      <c r="C491" t="inlineStr">
        <is>
          <t>A2728998</t>
        </is>
      </c>
      <c r="D491" s="4" t="n">
        <v>430</v>
      </c>
      <c r="E491" s="5" t="n">
        <v>46319</v>
      </c>
      <c r="F491" s="5" t="n">
        <v>46321</v>
      </c>
      <c r="G491">
        <f>MAX(1,F491-E491)</f>
        <v/>
      </c>
      <c r="H491" s="4">
        <f>D491*G491</f>
        <v/>
      </c>
      <c r="I491">
        <f>IF(TODAY()&lt;E491,"À venir",IF(TODAY()&lt;F491,"En cours","Terminée"))</f>
        <v/>
      </c>
      <c r="J491" t="inlineStr">
        <is>
          <t>Téléphone</t>
        </is>
      </c>
      <c r="K491" t="inlineStr">
        <is>
          <t>Réservée</t>
        </is>
      </c>
    </row>
    <row r="492">
      <c r="A492" t="inlineStr">
        <is>
          <t>L-00491</t>
        </is>
      </c>
      <c r="B492" t="inlineStr">
        <is>
          <t>97018-A-1</t>
        </is>
      </c>
      <c r="C492" t="inlineStr">
        <is>
          <t>AD710001</t>
        </is>
      </c>
      <c r="D492" s="4" t="n">
        <v>360</v>
      </c>
      <c r="E492" s="5" t="n">
        <v>46319</v>
      </c>
      <c r="F492" s="5" t="n">
        <v>46322</v>
      </c>
      <c r="G492">
        <f>MAX(1,F492-E492)</f>
        <v/>
      </c>
      <c r="H492" s="4">
        <f>D492*G492</f>
        <v/>
      </c>
      <c r="I492">
        <f>IF(TODAY()&lt;E492,"À venir",IF(TODAY()&lt;F492,"En cours","Terminée"))</f>
        <v/>
      </c>
      <c r="J492" t="inlineStr">
        <is>
          <t>Comptoir</t>
        </is>
      </c>
      <c r="K492" t="inlineStr">
        <is>
          <t>Réservée</t>
        </is>
      </c>
    </row>
    <row r="493">
      <c r="A493" t="inlineStr">
        <is>
          <t>L-00492</t>
        </is>
      </c>
      <c r="B493" t="inlineStr">
        <is>
          <t>85272-B-1</t>
        </is>
      </c>
      <c r="C493" t="inlineStr">
        <is>
          <t>G1948412</t>
        </is>
      </c>
      <c r="D493" s="4" t="n">
        <v>400</v>
      </c>
      <c r="E493" s="5" t="n">
        <v>46321</v>
      </c>
      <c r="F493" s="5" t="n">
        <v>46335</v>
      </c>
      <c r="G493">
        <f>MAX(1,F493-E493)</f>
        <v/>
      </c>
      <c r="H493" s="4">
        <f>D493*G493</f>
        <v/>
      </c>
      <c r="I493">
        <f>IF(TODAY()&lt;E493,"À venir",IF(TODAY()&lt;F493,"En cours","Terminée"))</f>
        <v/>
      </c>
      <c r="J493" t="inlineStr">
        <is>
          <t>WhatsApp</t>
        </is>
      </c>
      <c r="K493" t="inlineStr">
        <is>
          <t>Réservée</t>
        </is>
      </c>
    </row>
    <row r="494">
      <c r="A494" t="inlineStr">
        <is>
          <t>L-00493</t>
        </is>
      </c>
      <c r="B494" t="inlineStr">
        <is>
          <t>74343-B-1</t>
        </is>
      </c>
      <c r="C494" t="inlineStr">
        <is>
          <t>EE211678</t>
        </is>
      </c>
      <c r="D494" s="4" t="n">
        <v>230</v>
      </c>
      <c r="E494" s="5" t="n">
        <v>46323</v>
      </c>
      <c r="F494" s="5" t="n">
        <v>46326</v>
      </c>
      <c r="G494">
        <f>MAX(1,F494-E494)</f>
        <v/>
      </c>
      <c r="H494" s="4">
        <f>D494*G494</f>
        <v/>
      </c>
      <c r="I494">
        <f>IF(TODAY()&lt;E494,"À venir",IF(TODAY()&lt;F494,"En cours","Terminée"))</f>
        <v/>
      </c>
      <c r="J494" t="inlineStr">
        <is>
          <t>Téléphone</t>
        </is>
      </c>
      <c r="K494" t="inlineStr">
        <is>
          <t>Réservée</t>
        </is>
      </c>
    </row>
    <row r="495">
      <c r="A495" t="inlineStr">
        <is>
          <t>L-00494</t>
        </is>
      </c>
      <c r="B495" t="inlineStr">
        <is>
          <t>85684-A-1</t>
        </is>
      </c>
      <c r="C495" t="inlineStr">
        <is>
          <t>AB467851</t>
        </is>
      </c>
      <c r="D495" s="4" t="n">
        <v>210</v>
      </c>
      <c r="E495" s="5" t="n">
        <v>46324</v>
      </c>
      <c r="F495" s="5" t="n">
        <v>46338</v>
      </c>
      <c r="G495">
        <f>MAX(1,F495-E495)</f>
        <v/>
      </c>
      <c r="H495" s="4">
        <f>D495*G495</f>
        <v/>
      </c>
      <c r="I495">
        <f>IF(TODAY()&lt;E495,"À venir",IF(TODAY()&lt;F495,"En cours","Terminée"))</f>
        <v/>
      </c>
      <c r="J495" t="inlineStr">
        <is>
          <t>WhatsApp</t>
        </is>
      </c>
      <c r="K495" t="inlineStr">
        <is>
          <t>Réservée</t>
        </is>
      </c>
    </row>
    <row r="496">
      <c r="A496" t="inlineStr">
        <is>
          <t>L-00495</t>
        </is>
      </c>
      <c r="B496" t="inlineStr">
        <is>
          <t>21066-H-1</t>
        </is>
      </c>
      <c r="C496" t="inlineStr">
        <is>
          <t>DA228644</t>
        </is>
      </c>
      <c r="D496" s="4" t="n">
        <v>480</v>
      </c>
      <c r="E496" s="5" t="n">
        <v>46325</v>
      </c>
      <c r="F496" s="5" t="n">
        <v>46330</v>
      </c>
      <c r="G496">
        <f>MAX(1,F496-E496)</f>
        <v/>
      </c>
      <c r="H496" s="4">
        <f>D496*G496</f>
        <v/>
      </c>
      <c r="I496">
        <f>IF(TODAY()&lt;E496,"À venir",IF(TODAY()&lt;F496,"En cours","Terminée"))</f>
        <v/>
      </c>
      <c r="J496" t="inlineStr">
        <is>
          <t>Facebook</t>
        </is>
      </c>
      <c r="K496" t="inlineStr">
        <is>
          <t>Réservée</t>
        </is>
      </c>
    </row>
    <row r="497">
      <c r="A497" t="inlineStr">
        <is>
          <t>L-00496</t>
        </is>
      </c>
      <c r="B497" t="inlineStr">
        <is>
          <t>54616-W-1</t>
        </is>
      </c>
      <c r="C497" t="inlineStr">
        <is>
          <t>AD835232</t>
        </is>
      </c>
      <c r="D497" s="4" t="n">
        <v>180</v>
      </c>
      <c r="E497" s="5" t="n">
        <v>46325</v>
      </c>
      <c r="F497" s="5" t="n">
        <v>46327</v>
      </c>
      <c r="G497">
        <f>MAX(1,F497-E497)</f>
        <v/>
      </c>
      <c r="H497" s="4">
        <f>D497*G497</f>
        <v/>
      </c>
      <c r="I497">
        <f>IF(TODAY()&lt;E497,"À venir",IF(TODAY()&lt;F497,"En cours","Terminée"))</f>
        <v/>
      </c>
      <c r="J497" t="inlineStr">
        <is>
          <t>Site web</t>
        </is>
      </c>
      <c r="K497" t="inlineStr">
        <is>
          <t>Réservée</t>
        </is>
      </c>
    </row>
    <row r="498">
      <c r="A498" t="inlineStr">
        <is>
          <t>L-00497</t>
        </is>
      </c>
      <c r="B498" t="inlineStr">
        <is>
          <t>33992-B-1</t>
        </is>
      </c>
      <c r="C498" t="inlineStr">
        <is>
          <t>CD298236</t>
        </is>
      </c>
      <c r="D498" s="4" t="n">
        <v>420</v>
      </c>
      <c r="E498" s="5" t="n">
        <v>46326</v>
      </c>
      <c r="F498" s="5" t="n">
        <v>46332</v>
      </c>
      <c r="G498">
        <f>MAX(1,F498-E498)</f>
        <v/>
      </c>
      <c r="H498" s="4">
        <f>D498*G498</f>
        <v/>
      </c>
      <c r="I498">
        <f>IF(TODAY()&lt;E498,"À venir",IF(TODAY()&lt;F498,"En cours","Terminée"))</f>
        <v/>
      </c>
      <c r="J498" t="inlineStr">
        <is>
          <t>WhatsApp</t>
        </is>
      </c>
      <c r="K498" t="inlineStr">
        <is>
          <t>Réservée</t>
        </is>
      </c>
    </row>
    <row r="499">
      <c r="A499" t="inlineStr">
        <is>
          <t>L-00498</t>
        </is>
      </c>
      <c r="B499" t="inlineStr">
        <is>
          <t>36193-W-1</t>
        </is>
      </c>
      <c r="C499" t="inlineStr">
        <is>
          <t>BE418225</t>
        </is>
      </c>
      <c r="D499" s="4" t="n">
        <v>400</v>
      </c>
      <c r="E499" s="5" t="n">
        <v>46327</v>
      </c>
      <c r="F499" s="5" t="n">
        <v>46333</v>
      </c>
      <c r="G499">
        <f>MAX(1,F499-E499)</f>
        <v/>
      </c>
      <c r="H499" s="4">
        <f>D499*G499</f>
        <v/>
      </c>
      <c r="I499">
        <f>IF(TODAY()&lt;E499,"À venir",IF(TODAY()&lt;F499,"En cours","Terminée"))</f>
        <v/>
      </c>
      <c r="J499" t="inlineStr">
        <is>
          <t>WhatsApp</t>
        </is>
      </c>
      <c r="K499" t="inlineStr">
        <is>
          <t>Réservée</t>
        </is>
      </c>
    </row>
    <row r="500">
      <c r="A500" t="inlineStr">
        <is>
          <t>L-00499</t>
        </is>
      </c>
      <c r="B500" t="inlineStr">
        <is>
          <t>95936-H-1</t>
        </is>
      </c>
      <c r="C500" t="inlineStr">
        <is>
          <t>G5212575</t>
        </is>
      </c>
      <c r="D500" s="4" t="n">
        <v>370</v>
      </c>
      <c r="E500" s="5" t="n">
        <v>46328</v>
      </c>
      <c r="F500" s="5" t="n">
        <v>46331</v>
      </c>
      <c r="G500">
        <f>MAX(1,F500-E500)</f>
        <v/>
      </c>
      <c r="H500" s="4">
        <f>D500*G500</f>
        <v/>
      </c>
      <c r="I500">
        <f>IF(TODAY()&lt;E500,"À venir",IF(TODAY()&lt;F500,"En cours","Terminée"))</f>
        <v/>
      </c>
      <c r="J500" t="inlineStr">
        <is>
          <t>Site web</t>
        </is>
      </c>
      <c r="K500" t="inlineStr">
        <is>
          <t>Réservée</t>
        </is>
      </c>
    </row>
    <row r="501">
      <c r="A501" t="inlineStr">
        <is>
          <t>L-00500</t>
        </is>
      </c>
      <c r="B501" t="inlineStr">
        <is>
          <t>97018-A-1</t>
        </is>
      </c>
      <c r="C501" t="inlineStr">
        <is>
          <t>G1943814</t>
        </is>
      </c>
      <c r="D501" s="4" t="n">
        <v>340</v>
      </c>
      <c r="E501" s="5" t="n">
        <v>46328</v>
      </c>
      <c r="F501" s="5" t="n">
        <v>46334</v>
      </c>
      <c r="G501">
        <f>MAX(1,F501-E501)</f>
        <v/>
      </c>
      <c r="H501" s="4">
        <f>D501*G501</f>
        <v/>
      </c>
      <c r="I501">
        <f>IF(TODAY()&lt;E501,"À venir",IF(TODAY()&lt;F501,"En cours","Terminée"))</f>
        <v/>
      </c>
      <c r="J501" t="inlineStr">
        <is>
          <t>WhatsApp</t>
        </is>
      </c>
      <c r="K501" t="inlineStr">
        <is>
          <t>Réservée</t>
        </is>
      </c>
    </row>
    <row r="502">
      <c r="A502" t="inlineStr">
        <is>
          <t>L-00501</t>
        </is>
      </c>
      <c r="B502" t="inlineStr">
        <is>
          <t>75329-D-1</t>
        </is>
      </c>
      <c r="C502" t="inlineStr">
        <is>
          <t>CD176711</t>
        </is>
      </c>
      <c r="D502" s="4" t="n">
        <v>440</v>
      </c>
      <c r="E502" s="5" t="n">
        <v>46329</v>
      </c>
      <c r="F502" s="5" t="n">
        <v>46331</v>
      </c>
      <c r="G502">
        <f>MAX(1,F502-E502)</f>
        <v/>
      </c>
      <c r="H502" s="4">
        <f>D502*G502</f>
        <v/>
      </c>
      <c r="I502">
        <f>IF(TODAY()&lt;E502,"À venir",IF(TODAY()&lt;F502,"En cours","Terminée"))</f>
        <v/>
      </c>
      <c r="J502" t="inlineStr">
        <is>
          <t>WhatsApp</t>
        </is>
      </c>
      <c r="K502" t="inlineStr">
        <is>
          <t>Réservée</t>
        </is>
      </c>
    </row>
    <row r="503">
      <c r="A503" t="inlineStr">
        <is>
          <t>L-00502</t>
        </is>
      </c>
      <c r="B503" t="inlineStr">
        <is>
          <t>88778-A-1</t>
        </is>
      </c>
      <c r="C503" t="inlineStr">
        <is>
          <t>G4153192</t>
        </is>
      </c>
      <c r="D503" s="4" t="n">
        <v>190</v>
      </c>
      <c r="E503" s="5" t="n">
        <v>46331</v>
      </c>
      <c r="F503" s="5" t="n">
        <v>46338</v>
      </c>
      <c r="G503">
        <f>MAX(1,F503-E503)</f>
        <v/>
      </c>
      <c r="H503" s="4">
        <f>D503*G503</f>
        <v/>
      </c>
      <c r="I503">
        <f>IF(TODAY()&lt;E503,"À venir",IF(TODAY()&lt;F503,"En cours","Terminée"))</f>
        <v/>
      </c>
      <c r="J503" t="inlineStr">
        <is>
          <t>Téléphone</t>
        </is>
      </c>
      <c r="K503" t="inlineStr">
        <is>
          <t>Réservée</t>
        </is>
      </c>
    </row>
    <row r="504">
      <c r="A504" t="inlineStr">
        <is>
          <t>L-00503</t>
        </is>
      </c>
      <c r="B504" t="inlineStr">
        <is>
          <t>77893-H-1</t>
        </is>
      </c>
      <c r="C504" t="inlineStr">
        <is>
          <t>AD962732</t>
        </is>
      </c>
      <c r="D504" s="4" t="n">
        <v>260</v>
      </c>
      <c r="E504" s="5" t="n">
        <v>46335</v>
      </c>
      <c r="F504" s="5" t="n">
        <v>46337</v>
      </c>
      <c r="G504">
        <f>MAX(1,F504-E504)</f>
        <v/>
      </c>
      <c r="H504" s="4">
        <f>D504*G504</f>
        <v/>
      </c>
      <c r="I504">
        <f>IF(TODAY()&lt;E504,"À venir",IF(TODAY()&lt;F504,"En cours","Terminée"))</f>
        <v/>
      </c>
      <c r="J504" t="inlineStr">
        <is>
          <t>Instagram</t>
        </is>
      </c>
      <c r="K504" t="inlineStr">
        <is>
          <t>Réservée</t>
        </is>
      </c>
    </row>
    <row r="505">
      <c r="A505" t="inlineStr">
        <is>
          <t>L-00504</t>
        </is>
      </c>
      <c r="B505" t="inlineStr">
        <is>
          <t>62268-B-1</t>
        </is>
      </c>
      <c r="C505" t="inlineStr">
        <is>
          <t>AA866521</t>
        </is>
      </c>
      <c r="D505" s="4" t="n">
        <v>240</v>
      </c>
      <c r="E505" s="5" t="n">
        <v>46337</v>
      </c>
      <c r="F505" s="5" t="n">
        <v>46351</v>
      </c>
      <c r="G505">
        <f>MAX(1,F505-E505)</f>
        <v/>
      </c>
      <c r="H505" s="4">
        <f>D505*G505</f>
        <v/>
      </c>
      <c r="I505">
        <f>IF(TODAY()&lt;E505,"À venir",IF(TODAY()&lt;F505,"En cours","Terminée"))</f>
        <v/>
      </c>
      <c r="J505" t="inlineStr">
        <is>
          <t>Téléphone</t>
        </is>
      </c>
      <c r="K505" t="inlineStr">
        <is>
          <t>Réservée</t>
        </is>
      </c>
    </row>
    <row r="506">
      <c r="A506" t="inlineStr">
        <is>
          <t>L-00505</t>
        </is>
      </c>
      <c r="B506" t="inlineStr">
        <is>
          <t>54616-W-1</t>
        </is>
      </c>
      <c r="C506" t="inlineStr">
        <is>
          <t>CD176711</t>
        </is>
      </c>
      <c r="D506" s="4" t="n">
        <v>190</v>
      </c>
      <c r="E506" s="5" t="n">
        <v>46338</v>
      </c>
      <c r="F506" s="5" t="n">
        <v>46341</v>
      </c>
      <c r="G506">
        <f>MAX(1,F506-E506)</f>
        <v/>
      </c>
      <c r="H506" s="4">
        <f>D506*G506</f>
        <v/>
      </c>
      <c r="I506">
        <f>IF(TODAY()&lt;E506,"À venir",IF(TODAY()&lt;F506,"En cours","Terminée"))</f>
        <v/>
      </c>
      <c r="J506" t="inlineStr">
        <is>
          <t>Site web</t>
        </is>
      </c>
      <c r="K506" t="inlineStr">
        <is>
          <t>Réservée</t>
        </is>
      </c>
    </row>
    <row r="507">
      <c r="A507" t="inlineStr">
        <is>
          <t>L-00506</t>
        </is>
      </c>
      <c r="B507" t="inlineStr">
        <is>
          <t>75329-D-1</t>
        </is>
      </c>
      <c r="C507" t="inlineStr">
        <is>
          <t>AE278482</t>
        </is>
      </c>
      <c r="D507" s="4" t="n">
        <v>460</v>
      </c>
      <c r="E507" s="5" t="n">
        <v>46339</v>
      </c>
      <c r="F507" s="5" t="n">
        <v>46343</v>
      </c>
      <c r="G507">
        <f>MAX(1,F507-E507)</f>
        <v/>
      </c>
      <c r="H507" s="4">
        <f>D507*G507</f>
        <v/>
      </c>
      <c r="I507">
        <f>IF(TODAY()&lt;E507,"À venir",IF(TODAY()&lt;F507,"En cours","Terminée"))</f>
        <v/>
      </c>
      <c r="J507" t="inlineStr">
        <is>
          <t>Instagram</t>
        </is>
      </c>
      <c r="K507" t="inlineStr">
        <is>
          <t>Réservée</t>
        </is>
      </c>
    </row>
    <row r="508">
      <c r="A508" t="inlineStr">
        <is>
          <t>L-00507</t>
        </is>
      </c>
      <c r="B508" t="inlineStr">
        <is>
          <t>85684-A-1</t>
        </is>
      </c>
      <c r="C508" t="inlineStr">
        <is>
          <t>AA411366</t>
        </is>
      </c>
      <c r="D508" s="4" t="n">
        <v>210</v>
      </c>
      <c r="E508" s="5" t="n">
        <v>46340</v>
      </c>
      <c r="F508" s="5" t="n">
        <v>46341</v>
      </c>
      <c r="G508">
        <f>MAX(1,F508-E508)</f>
        <v/>
      </c>
      <c r="H508" s="4">
        <f>D508*G508</f>
        <v/>
      </c>
      <c r="I508">
        <f>IF(TODAY()&lt;E508,"À venir",IF(TODAY()&lt;F508,"En cours","Terminée"))</f>
        <v/>
      </c>
      <c r="J508" t="inlineStr">
        <is>
          <t>Booking.com</t>
        </is>
      </c>
      <c r="K508" t="inlineStr">
        <is>
          <t>Réservée</t>
        </is>
      </c>
    </row>
    <row r="509">
      <c r="A509" t="inlineStr">
        <is>
          <t>L-00508</t>
        </is>
      </c>
      <c r="B509" t="inlineStr">
        <is>
          <t>95936-H-1</t>
        </is>
      </c>
      <c r="C509" t="inlineStr">
        <is>
          <t>G5212575</t>
        </is>
      </c>
      <c r="D509" s="4" t="n">
        <v>350</v>
      </c>
      <c r="E509" s="5" t="n">
        <v>46341</v>
      </c>
      <c r="F509" s="5" t="n">
        <v>46351</v>
      </c>
      <c r="G509">
        <f>MAX(1,F509-E509)</f>
        <v/>
      </c>
      <c r="H509" s="4">
        <f>D509*G509</f>
        <v/>
      </c>
      <c r="I509">
        <f>IF(TODAY()&lt;E509,"À venir",IF(TODAY()&lt;F509,"En cours","Terminée"))</f>
        <v/>
      </c>
      <c r="J509" t="inlineStr">
        <is>
          <t>Booking.com</t>
        </is>
      </c>
      <c r="K509" t="inlineStr">
        <is>
          <t>Réservée</t>
        </is>
      </c>
    </row>
    <row r="510">
      <c r="A510" t="inlineStr">
        <is>
          <t>L-00509</t>
        </is>
      </c>
      <c r="B510" t="inlineStr">
        <is>
          <t>85684-A-1</t>
        </is>
      </c>
      <c r="C510" t="inlineStr">
        <is>
          <t>CD516136</t>
        </is>
      </c>
      <c r="D510" s="4" t="n">
        <v>210</v>
      </c>
      <c r="E510" s="5" t="n">
        <v>46343</v>
      </c>
      <c r="F510" s="5" t="n">
        <v>46346</v>
      </c>
      <c r="G510">
        <f>MAX(1,F510-E510)</f>
        <v/>
      </c>
      <c r="H510" s="4">
        <f>D510*G510</f>
        <v/>
      </c>
      <c r="I510">
        <f>IF(TODAY()&lt;E510,"À venir",IF(TODAY()&lt;F510,"En cours","Terminée"))</f>
        <v/>
      </c>
      <c r="J510" t="inlineStr">
        <is>
          <t>Facebook</t>
        </is>
      </c>
      <c r="K510" t="inlineStr">
        <is>
          <t>Réservée</t>
        </is>
      </c>
    </row>
    <row r="511">
      <c r="A511" t="inlineStr">
        <is>
          <t>L-00510</t>
        </is>
      </c>
      <c r="B511" t="inlineStr">
        <is>
          <t>76545-W-1</t>
        </is>
      </c>
      <c r="C511" t="inlineStr">
        <is>
          <t>EE613807</t>
        </is>
      </c>
      <c r="D511" s="4" t="n">
        <v>620</v>
      </c>
      <c r="E511" s="5" t="n">
        <v>46346</v>
      </c>
      <c r="F511" s="5" t="n">
        <v>46348</v>
      </c>
      <c r="G511">
        <f>MAX(1,F511-E511)</f>
        <v/>
      </c>
      <c r="H511" s="4">
        <f>D511*G511</f>
        <v/>
      </c>
      <c r="I511">
        <f>IF(TODAY()&lt;E511,"À venir",IF(TODAY()&lt;F511,"En cours","Terminée"))</f>
        <v/>
      </c>
      <c r="J511" t="inlineStr">
        <is>
          <t>Site web</t>
        </is>
      </c>
      <c r="K511" t="inlineStr">
        <is>
          <t>Réservée</t>
        </is>
      </c>
    </row>
    <row r="512">
      <c r="A512" t="inlineStr">
        <is>
          <t>L-00511</t>
        </is>
      </c>
      <c r="B512" t="inlineStr">
        <is>
          <t>36193-W-1</t>
        </is>
      </c>
      <c r="C512" t="inlineStr">
        <is>
          <t>AD633832</t>
        </is>
      </c>
      <c r="D512" s="4" t="n">
        <v>400</v>
      </c>
      <c r="E512" s="5" t="n">
        <v>46348</v>
      </c>
      <c r="F512" s="5" t="n">
        <v>46352</v>
      </c>
      <c r="G512">
        <f>MAX(1,F512-E512)</f>
        <v/>
      </c>
      <c r="H512" s="4">
        <f>D512*G512</f>
        <v/>
      </c>
      <c r="I512">
        <f>IF(TODAY()&lt;E512,"À venir",IF(TODAY()&lt;F512,"En cours","Terminée"))</f>
        <v/>
      </c>
      <c r="J512" t="inlineStr">
        <is>
          <t>Facebook</t>
        </is>
      </c>
      <c r="K512" t="inlineStr">
        <is>
          <t>Réservée</t>
        </is>
      </c>
    </row>
    <row r="513">
      <c r="A513" t="inlineStr">
        <is>
          <t>L-00512</t>
        </is>
      </c>
      <c r="B513" t="inlineStr">
        <is>
          <t>74343-B-1</t>
        </is>
      </c>
      <c r="C513" t="inlineStr">
        <is>
          <t>AD929155</t>
        </is>
      </c>
      <c r="D513" s="4" t="n">
        <v>220</v>
      </c>
      <c r="E513" s="5" t="n">
        <v>46348</v>
      </c>
      <c r="F513" s="5" t="n">
        <v>46358</v>
      </c>
      <c r="G513">
        <f>MAX(1,F513-E513)</f>
        <v/>
      </c>
      <c r="H513" s="4">
        <f>D513*G513</f>
        <v/>
      </c>
      <c r="I513">
        <f>IF(TODAY()&lt;E513,"À venir",IF(TODAY()&lt;F513,"En cours","Terminée"))</f>
        <v/>
      </c>
      <c r="J513" t="inlineStr">
        <is>
          <t>Téléphone</t>
        </is>
      </c>
      <c r="K513" t="inlineStr">
        <is>
          <t>Réservée</t>
        </is>
      </c>
    </row>
    <row r="514">
      <c r="A514" t="inlineStr">
        <is>
          <t>L-00513</t>
        </is>
      </c>
      <c r="B514" t="inlineStr">
        <is>
          <t>85272-B-1</t>
        </is>
      </c>
      <c r="C514" t="inlineStr">
        <is>
          <t>BK346421</t>
        </is>
      </c>
      <c r="D514" s="4" t="n">
        <v>450</v>
      </c>
      <c r="E514" s="5" t="n">
        <v>46348</v>
      </c>
      <c r="F514" s="5" t="n">
        <v>46350</v>
      </c>
      <c r="G514">
        <f>MAX(1,F514-E514)</f>
        <v/>
      </c>
      <c r="H514" s="4">
        <f>D514*G514</f>
        <v/>
      </c>
      <c r="I514">
        <f>IF(TODAY()&lt;E514,"À venir",IF(TODAY()&lt;F514,"En cours","Terminée"))</f>
        <v/>
      </c>
      <c r="J514" t="inlineStr">
        <is>
          <t>Téléphone</t>
        </is>
      </c>
      <c r="K514" t="inlineStr">
        <is>
          <t>Réservée</t>
        </is>
      </c>
    </row>
    <row r="515">
      <c r="A515" t="inlineStr">
        <is>
          <t>L-00514</t>
        </is>
      </c>
      <c r="B515" t="inlineStr">
        <is>
          <t>77893-H-1</t>
        </is>
      </c>
      <c r="C515" t="inlineStr">
        <is>
          <t>AE279704</t>
        </is>
      </c>
      <c r="D515" s="4" t="n">
        <v>240</v>
      </c>
      <c r="E515" s="5" t="n">
        <v>46350</v>
      </c>
      <c r="F515" s="5" t="n">
        <v>46353</v>
      </c>
      <c r="G515">
        <f>MAX(1,F515-E515)</f>
        <v/>
      </c>
      <c r="H515" s="4">
        <f>D515*G515</f>
        <v/>
      </c>
      <c r="I515">
        <f>IF(TODAY()&lt;E515,"À venir",IF(TODAY()&lt;F515,"En cours","Terminée"))</f>
        <v/>
      </c>
      <c r="J515" t="inlineStr">
        <is>
          <t>WhatsApp</t>
        </is>
      </c>
      <c r="K515" t="inlineStr">
        <is>
          <t>Réservée</t>
        </is>
      </c>
    </row>
    <row r="516">
      <c r="A516" t="inlineStr">
        <is>
          <t>L-00515</t>
        </is>
      </c>
      <c r="B516" t="inlineStr">
        <is>
          <t>88778-A-1</t>
        </is>
      </c>
      <c r="C516" t="inlineStr">
        <is>
          <t>G4621259</t>
        </is>
      </c>
      <c r="D516" s="4" t="n">
        <v>190</v>
      </c>
      <c r="E516" s="5" t="n">
        <v>46350</v>
      </c>
      <c r="F516" s="5" t="n">
        <v>46360</v>
      </c>
      <c r="G516">
        <f>MAX(1,F516-E516)</f>
        <v/>
      </c>
      <c r="H516" s="4">
        <f>D516*G516</f>
        <v/>
      </c>
      <c r="I516">
        <f>IF(TODAY()&lt;E516,"À venir",IF(TODAY()&lt;F516,"En cours","Terminée"))</f>
        <v/>
      </c>
      <c r="J516" t="inlineStr">
        <is>
          <t>Téléphone</t>
        </is>
      </c>
      <c r="K516" t="inlineStr">
        <is>
          <t>Réservée</t>
        </is>
      </c>
    </row>
    <row r="517">
      <c r="A517" t="inlineStr">
        <is>
          <t>L-00516</t>
        </is>
      </c>
      <c r="B517" t="inlineStr">
        <is>
          <t>71302-W-1</t>
        </is>
      </c>
      <c r="C517" t="inlineStr">
        <is>
          <t>DA646673</t>
        </is>
      </c>
      <c r="D517" s="4" t="n">
        <v>330</v>
      </c>
      <c r="E517" s="5" t="n">
        <v>46352</v>
      </c>
      <c r="F517" s="5" t="n">
        <v>46354</v>
      </c>
      <c r="G517">
        <f>MAX(1,F517-E517)</f>
        <v/>
      </c>
      <c r="H517" s="4">
        <f>D517*G517</f>
        <v/>
      </c>
      <c r="I517">
        <f>IF(TODAY()&lt;E517,"À venir",IF(TODAY()&lt;F517,"En cours","Terminée"))</f>
        <v/>
      </c>
      <c r="J517" t="inlineStr">
        <is>
          <t>Facebook</t>
        </is>
      </c>
      <c r="K517" t="inlineStr">
        <is>
          <t>Réservée</t>
        </is>
      </c>
    </row>
    <row r="518">
      <c r="A518" t="inlineStr">
        <is>
          <t>L-00517</t>
        </is>
      </c>
      <c r="B518" t="inlineStr">
        <is>
          <t>33992-B-1</t>
        </is>
      </c>
      <c r="C518" t="inlineStr">
        <is>
          <t>FR4761205</t>
        </is>
      </c>
      <c r="D518" s="4" t="n">
        <v>410</v>
      </c>
      <c r="E518" s="5" t="n">
        <v>46353</v>
      </c>
      <c r="F518" s="5" t="n">
        <v>46356</v>
      </c>
      <c r="G518">
        <f>MAX(1,F518-E518)</f>
        <v/>
      </c>
      <c r="H518" s="4">
        <f>D518*G518</f>
        <v/>
      </c>
      <c r="I518">
        <f>IF(TODAY()&lt;E518,"À venir",IF(TODAY()&lt;F518,"En cours","Terminée"))</f>
        <v/>
      </c>
      <c r="J518" t="inlineStr">
        <is>
          <t>Téléphone</t>
        </is>
      </c>
      <c r="K518" t="inlineStr">
        <is>
          <t>Réservée</t>
        </is>
      </c>
    </row>
    <row r="519">
      <c r="A519" t="inlineStr">
        <is>
          <t>L-00518</t>
        </is>
      </c>
      <c r="B519" t="inlineStr">
        <is>
          <t>72769-D-1</t>
        </is>
      </c>
      <c r="C519" t="inlineStr">
        <is>
          <t>EE660854</t>
        </is>
      </c>
      <c r="D519" s="4" t="n">
        <v>180</v>
      </c>
      <c r="E519" s="5" t="n">
        <v>46353</v>
      </c>
      <c r="F519" s="5" t="n">
        <v>46354</v>
      </c>
      <c r="G519">
        <f>MAX(1,F519-E519)</f>
        <v/>
      </c>
      <c r="H519" s="4">
        <f>D519*G519</f>
        <v/>
      </c>
      <c r="I519">
        <f>IF(TODAY()&lt;E519,"À venir",IF(TODAY()&lt;F519,"En cours","Terminée"))</f>
        <v/>
      </c>
      <c r="J519" t="inlineStr">
        <is>
          <t>Téléphone</t>
        </is>
      </c>
      <c r="K519" t="inlineStr">
        <is>
          <t>Réservée</t>
        </is>
      </c>
    </row>
    <row r="520">
      <c r="A520" t="inlineStr">
        <is>
          <t>L-00519</t>
        </is>
      </c>
      <c r="B520" t="inlineStr">
        <is>
          <t>85684-A-1</t>
        </is>
      </c>
      <c r="C520" t="inlineStr">
        <is>
          <t>AB893891</t>
        </is>
      </c>
      <c r="D520" s="4" t="n">
        <v>220</v>
      </c>
      <c r="E520" s="5" t="n">
        <v>46353</v>
      </c>
      <c r="F520" s="5" t="n">
        <v>46356</v>
      </c>
      <c r="G520">
        <f>MAX(1,F520-E520)</f>
        <v/>
      </c>
      <c r="H520" s="4">
        <f>D520*G520</f>
        <v/>
      </c>
      <c r="I520">
        <f>IF(TODAY()&lt;E520,"À venir",IF(TODAY()&lt;F520,"En cours","Terminée"))</f>
        <v/>
      </c>
      <c r="J520" t="inlineStr">
        <is>
          <t>Booking.com</t>
        </is>
      </c>
      <c r="K520" t="inlineStr">
        <is>
          <t>Réservée</t>
        </is>
      </c>
    </row>
    <row r="521">
      <c r="A521" t="inlineStr">
        <is>
          <t>L-00520</t>
        </is>
      </c>
      <c r="B521" t="inlineStr">
        <is>
          <t>21066-H-1</t>
        </is>
      </c>
      <c r="C521" t="inlineStr">
        <is>
          <t>DA228644</t>
        </is>
      </c>
      <c r="D521" s="4" t="n">
        <v>510</v>
      </c>
      <c r="E521" s="5" t="n">
        <v>46357</v>
      </c>
      <c r="F521" s="5" t="n">
        <v>46360</v>
      </c>
      <c r="G521">
        <f>MAX(1,F521-E521)</f>
        <v/>
      </c>
      <c r="H521" s="4">
        <f>D521*G521</f>
        <v/>
      </c>
      <c r="I521">
        <f>IF(TODAY()&lt;E521,"À venir",IF(TODAY()&lt;F521,"En cours","Terminée"))</f>
        <v/>
      </c>
      <c r="J521" t="inlineStr">
        <is>
          <t>Comptoir</t>
        </is>
      </c>
      <c r="K521" t="inlineStr">
        <is>
          <t>Réservée</t>
        </is>
      </c>
    </row>
    <row r="522">
      <c r="A522" t="inlineStr">
        <is>
          <t>L-00521</t>
        </is>
      </c>
      <c r="B522" t="inlineStr">
        <is>
          <t>97018-A-1</t>
        </is>
      </c>
      <c r="C522" t="inlineStr">
        <is>
          <t>DA850793</t>
        </is>
      </c>
      <c r="D522" s="4" t="n">
        <v>370</v>
      </c>
      <c r="E522" s="5" t="n">
        <v>46357</v>
      </c>
      <c r="F522" s="5" t="n">
        <v>46358</v>
      </c>
      <c r="G522">
        <f>MAX(1,F522-E522)</f>
        <v/>
      </c>
      <c r="H522" s="4">
        <f>D522*G522</f>
        <v/>
      </c>
      <c r="I522">
        <f>IF(TODAY()&lt;E522,"À venir",IF(TODAY()&lt;F522,"En cours","Terminée"))</f>
        <v/>
      </c>
      <c r="J522" t="inlineStr">
        <is>
          <t>Comptoir</t>
        </is>
      </c>
      <c r="K522" t="inlineStr">
        <is>
          <t>Réservée</t>
        </is>
      </c>
    </row>
    <row r="523">
      <c r="A523" t="inlineStr">
        <is>
          <t>L-00522</t>
        </is>
      </c>
      <c r="B523" t="inlineStr">
        <is>
          <t>62268-B-1</t>
        </is>
      </c>
      <c r="C523" t="inlineStr">
        <is>
          <t>G9274426</t>
        </is>
      </c>
      <c r="D523" s="4" t="n">
        <v>260</v>
      </c>
      <c r="E523" s="5" t="n">
        <v>46358</v>
      </c>
      <c r="F523" s="5" t="n">
        <v>46360</v>
      </c>
      <c r="G523">
        <f>MAX(1,F523-E523)</f>
        <v/>
      </c>
      <c r="H523" s="4">
        <f>D523*G523</f>
        <v/>
      </c>
      <c r="I523">
        <f>IF(TODAY()&lt;E523,"À venir",IF(TODAY()&lt;F523,"En cours","Terminée"))</f>
        <v/>
      </c>
      <c r="J523" t="inlineStr">
        <is>
          <t>Booking.com</t>
        </is>
      </c>
      <c r="K523" t="inlineStr">
        <is>
          <t>Réservée</t>
        </is>
      </c>
    </row>
    <row r="524">
      <c r="A524" t="inlineStr">
        <is>
          <t>L-00523</t>
        </is>
      </c>
      <c r="B524" t="inlineStr">
        <is>
          <t>54616-W-1</t>
        </is>
      </c>
      <c r="C524" t="inlineStr">
        <is>
          <t>A4114424</t>
        </is>
      </c>
      <c r="D524" s="4" t="n">
        <v>180</v>
      </c>
      <c r="E524" s="5" t="n">
        <v>46359</v>
      </c>
      <c r="F524" s="5" t="n">
        <v>46361</v>
      </c>
      <c r="G524">
        <f>MAX(1,F524-E524)</f>
        <v/>
      </c>
      <c r="H524" s="4">
        <f>D524*G524</f>
        <v/>
      </c>
      <c r="I524">
        <f>IF(TODAY()&lt;E524,"À venir",IF(TODAY()&lt;F524,"En cours","Terminée"))</f>
        <v/>
      </c>
      <c r="J524" t="inlineStr">
        <is>
          <t>WhatsApp</t>
        </is>
      </c>
      <c r="K524" t="inlineStr">
        <is>
          <t>Réservée</t>
        </is>
      </c>
    </row>
    <row r="525">
      <c r="A525" t="inlineStr">
        <is>
          <t>L-00524</t>
        </is>
      </c>
      <c r="B525" t="inlineStr">
        <is>
          <t>74343-B-1</t>
        </is>
      </c>
      <c r="C525" t="inlineStr">
        <is>
          <t>DA850793</t>
        </is>
      </c>
      <c r="D525" s="4" t="n">
        <v>240</v>
      </c>
      <c r="E525" s="5" t="n">
        <v>46360</v>
      </c>
      <c r="F525" s="5" t="n">
        <v>46365</v>
      </c>
      <c r="G525">
        <f>MAX(1,F525-E525)</f>
        <v/>
      </c>
      <c r="H525" s="4">
        <f>D525*G525</f>
        <v/>
      </c>
      <c r="I525">
        <f>IF(TODAY()&lt;E525,"À venir",IF(TODAY()&lt;F525,"En cours","Terminée"))</f>
        <v/>
      </c>
      <c r="J525" t="inlineStr">
        <is>
          <t>WhatsApp</t>
        </is>
      </c>
      <c r="K525" t="inlineStr">
        <is>
          <t>Réservée</t>
        </is>
      </c>
    </row>
    <row r="526">
      <c r="A526" t="inlineStr">
        <is>
          <t>L-00525</t>
        </is>
      </c>
      <c r="B526" t="inlineStr">
        <is>
          <t>75329-D-1</t>
        </is>
      </c>
      <c r="C526" t="inlineStr">
        <is>
          <t>BE992685</t>
        </is>
      </c>
      <c r="D526" s="4" t="n">
        <v>400</v>
      </c>
      <c r="E526" s="5" t="n">
        <v>46362</v>
      </c>
      <c r="F526" s="5" t="n">
        <v>46376</v>
      </c>
      <c r="G526">
        <f>MAX(1,F526-E526)</f>
        <v/>
      </c>
      <c r="H526" s="4">
        <f>D526*G526</f>
        <v/>
      </c>
      <c r="I526">
        <f>IF(TODAY()&lt;E526,"À venir",IF(TODAY()&lt;F526,"En cours","Terminée"))</f>
        <v/>
      </c>
      <c r="J526" t="inlineStr">
        <is>
          <t>Comptoir</t>
        </is>
      </c>
      <c r="K526" t="inlineStr">
        <is>
          <t>Réservée</t>
        </is>
      </c>
    </row>
    <row r="527">
      <c r="A527" t="inlineStr">
        <is>
          <t>L-00526</t>
        </is>
      </c>
      <c r="B527" t="inlineStr">
        <is>
          <t>54616-W-1</t>
        </is>
      </c>
      <c r="C527" t="inlineStr">
        <is>
          <t>EE722487</t>
        </is>
      </c>
      <c r="D527" s="4" t="n">
        <v>180</v>
      </c>
      <c r="E527" s="5" t="n">
        <v>46364</v>
      </c>
      <c r="F527" s="5" t="n">
        <v>46369</v>
      </c>
      <c r="G527">
        <f>MAX(1,F527-E527)</f>
        <v/>
      </c>
      <c r="H527" s="4">
        <f>D527*G527</f>
        <v/>
      </c>
      <c r="I527">
        <f>IF(TODAY()&lt;E527,"À venir",IF(TODAY()&lt;F527,"En cours","Terminée"))</f>
        <v/>
      </c>
      <c r="J527" t="inlineStr">
        <is>
          <t>WhatsApp</t>
        </is>
      </c>
      <c r="K527" t="inlineStr">
        <is>
          <t>Réservée</t>
        </is>
      </c>
    </row>
    <row r="528">
      <c r="A528" t="inlineStr">
        <is>
          <t>L-00527</t>
        </is>
      </c>
      <c r="B528" t="inlineStr">
        <is>
          <t>85684-A-1</t>
        </is>
      </c>
      <c r="C528" t="inlineStr">
        <is>
          <t>EE660854</t>
        </is>
      </c>
      <c r="D528" s="4" t="n">
        <v>200</v>
      </c>
      <c r="E528" s="5" t="n">
        <v>46365</v>
      </c>
      <c r="F528" s="5" t="n">
        <v>46372</v>
      </c>
      <c r="G528">
        <f>MAX(1,F528-E528)</f>
        <v/>
      </c>
      <c r="H528" s="4">
        <f>D528*G528</f>
        <v/>
      </c>
      <c r="I528">
        <f>IF(TODAY()&lt;E528,"À venir",IF(TODAY()&lt;F528,"En cours","Terminée"))</f>
        <v/>
      </c>
      <c r="J528" t="inlineStr">
        <is>
          <t>WhatsApp</t>
        </is>
      </c>
      <c r="K528" t="inlineStr">
        <is>
          <t>Réservée</t>
        </is>
      </c>
    </row>
    <row r="529">
      <c r="A529" t="inlineStr">
        <is>
          <t>L-00528</t>
        </is>
      </c>
      <c r="B529" t="inlineStr">
        <is>
          <t>85272-B-1</t>
        </is>
      </c>
      <c r="C529" t="inlineStr">
        <is>
          <t>G1943814</t>
        </is>
      </c>
      <c r="D529" s="4" t="n">
        <v>430</v>
      </c>
      <c r="E529" s="5" t="n">
        <v>46366</v>
      </c>
      <c r="F529" s="5" t="n">
        <v>46376</v>
      </c>
      <c r="G529">
        <f>MAX(1,F529-E529)</f>
        <v/>
      </c>
      <c r="H529" s="4">
        <f>D529*G529</f>
        <v/>
      </c>
      <c r="I529">
        <f>IF(TODAY()&lt;E529,"À venir",IF(TODAY()&lt;F529,"En cours","Terminée"))</f>
        <v/>
      </c>
      <c r="J529" t="inlineStr">
        <is>
          <t>Instagram</t>
        </is>
      </c>
      <c r="K529" t="inlineStr">
        <is>
          <t>Réservée</t>
        </is>
      </c>
    </row>
    <row r="530">
      <c r="A530" t="inlineStr">
        <is>
          <t>L-00529</t>
        </is>
      </c>
      <c r="B530" t="inlineStr">
        <is>
          <t>33992-B-1</t>
        </is>
      </c>
      <c r="C530" t="inlineStr">
        <is>
          <t>CD516136</t>
        </is>
      </c>
      <c r="D530" s="4" t="n">
        <v>420</v>
      </c>
      <c r="E530" s="5" t="n">
        <v>46367</v>
      </c>
      <c r="F530" s="5" t="n">
        <v>46370</v>
      </c>
      <c r="G530">
        <f>MAX(1,F530-E530)</f>
        <v/>
      </c>
      <c r="H530" s="4">
        <f>D530*G530</f>
        <v/>
      </c>
      <c r="I530">
        <f>IF(TODAY()&lt;E530,"À venir",IF(TODAY()&lt;F530,"En cours","Terminée"))</f>
        <v/>
      </c>
      <c r="J530" t="inlineStr">
        <is>
          <t>WhatsApp</t>
        </is>
      </c>
      <c r="K530" t="inlineStr">
        <is>
          <t>Réservée</t>
        </is>
      </c>
    </row>
    <row r="531">
      <c r="A531" t="inlineStr">
        <is>
          <t>L-00530</t>
        </is>
      </c>
      <c r="B531" t="inlineStr">
        <is>
          <t>21066-H-1</t>
        </is>
      </c>
      <c r="C531" t="inlineStr">
        <is>
          <t>AA916889</t>
        </is>
      </c>
      <c r="D531" s="4" t="n">
        <v>490</v>
      </c>
      <c r="E531" s="5" t="n">
        <v>46369</v>
      </c>
      <c r="F531" s="5" t="n">
        <v>46371</v>
      </c>
      <c r="G531">
        <f>MAX(1,F531-E531)</f>
        <v/>
      </c>
      <c r="H531" s="4">
        <f>D531*G531</f>
        <v/>
      </c>
      <c r="I531">
        <f>IF(TODAY()&lt;E531,"À venir",IF(TODAY()&lt;F531,"En cours","Terminée"))</f>
        <v/>
      </c>
      <c r="J531" t="inlineStr">
        <is>
          <t>Booking.com</t>
        </is>
      </c>
      <c r="K531" t="inlineStr">
        <is>
          <t>Réservée</t>
        </is>
      </c>
    </row>
    <row r="532">
      <c r="A532" t="inlineStr">
        <is>
          <t>L-00531</t>
        </is>
      </c>
      <c r="B532" t="inlineStr">
        <is>
          <t>71994-D-1</t>
        </is>
      </c>
      <c r="C532" t="inlineStr">
        <is>
          <t>EE211678</t>
        </is>
      </c>
      <c r="D532" s="4" t="n">
        <v>580</v>
      </c>
      <c r="E532" s="5" t="n">
        <v>46373</v>
      </c>
      <c r="F532" s="5" t="n">
        <v>46375</v>
      </c>
      <c r="G532">
        <f>MAX(1,F532-E532)</f>
        <v/>
      </c>
      <c r="H532" s="4">
        <f>D532*G532</f>
        <v/>
      </c>
      <c r="I532">
        <f>IF(TODAY()&lt;E532,"À venir",IF(TODAY()&lt;F532,"En cours","Terminée"))</f>
        <v/>
      </c>
      <c r="J532" t="inlineStr">
        <is>
          <t>Site web</t>
        </is>
      </c>
      <c r="K532" t="inlineStr">
        <is>
          <t>Réservée</t>
        </is>
      </c>
    </row>
    <row r="533">
      <c r="A533" t="inlineStr">
        <is>
          <t>L-00532</t>
        </is>
      </c>
      <c r="B533" t="inlineStr">
        <is>
          <t>72769-D-1</t>
        </is>
      </c>
      <c r="C533" t="inlineStr">
        <is>
          <t>CD516136</t>
        </is>
      </c>
      <c r="D533" s="4" t="n">
        <v>190</v>
      </c>
      <c r="E533" s="5" t="n">
        <v>46374</v>
      </c>
      <c r="F533" s="5" t="n">
        <v>46377</v>
      </c>
      <c r="G533">
        <f>MAX(1,F533-E533)</f>
        <v/>
      </c>
      <c r="H533" s="4">
        <f>D533*G533</f>
        <v/>
      </c>
      <c r="I533">
        <f>IF(TODAY()&lt;E533,"À venir",IF(TODAY()&lt;F533,"En cours","Terminée"))</f>
        <v/>
      </c>
      <c r="J533" t="inlineStr">
        <is>
          <t>Facebook</t>
        </is>
      </c>
      <c r="K533" t="inlineStr">
        <is>
          <t>Réservée</t>
        </is>
      </c>
    </row>
    <row r="534">
      <c r="A534" t="inlineStr">
        <is>
          <t>L-00533</t>
        </is>
      </c>
      <c r="B534" t="inlineStr">
        <is>
          <t>74343-B-1</t>
        </is>
      </c>
      <c r="C534" t="inlineStr">
        <is>
          <t>AA241918</t>
        </is>
      </c>
      <c r="D534" s="4" t="n">
        <v>220</v>
      </c>
      <c r="E534" s="5" t="n">
        <v>46384</v>
      </c>
      <c r="F534" s="5" t="n">
        <v>46389</v>
      </c>
      <c r="G534">
        <f>MAX(1,F534-E534)</f>
        <v/>
      </c>
      <c r="H534" s="4">
        <f>D534*G534</f>
        <v/>
      </c>
      <c r="I534">
        <f>IF(TODAY()&lt;E534,"À venir",IF(TODAY()&lt;F534,"En cours","Terminée"))</f>
        <v/>
      </c>
      <c r="J534" t="inlineStr">
        <is>
          <t>WhatsApp</t>
        </is>
      </c>
      <c r="K534" t="inlineStr">
        <is>
          <t>Réservée</t>
        </is>
      </c>
    </row>
    <row r="535">
      <c r="A535" t="inlineStr">
        <is>
          <t>L-00534</t>
        </is>
      </c>
      <c r="B535" t="inlineStr">
        <is>
          <t>54616-W-1</t>
        </is>
      </c>
      <c r="C535" t="inlineStr">
        <is>
          <t>G5643699</t>
        </is>
      </c>
      <c r="D535" s="4" t="n">
        <v>180</v>
      </c>
      <c r="E535" s="5" t="n">
        <v>46385</v>
      </c>
      <c r="F535" s="5" t="n">
        <v>46389</v>
      </c>
      <c r="G535">
        <f>MAX(1,F535-E535)</f>
        <v/>
      </c>
      <c r="H535" s="4">
        <f>D535*G535</f>
        <v/>
      </c>
      <c r="I535">
        <f>IF(TODAY()&lt;E535,"À venir",IF(TODAY()&lt;F535,"En cours","Terminée"))</f>
        <v/>
      </c>
      <c r="J535" t="inlineStr">
        <is>
          <t>Booking.com</t>
        </is>
      </c>
      <c r="K535" t="inlineStr">
        <is>
          <t>Réservée</t>
        </is>
      </c>
    </row>
  </sheetData>
  <conditionalFormatting sqref="I2:I535">
    <cfRule type="cellIs" priority="1" operator="equal" dxfId="0">
      <formula>"En cours"</formula>
    </cfRule>
    <cfRule type="cellIs" priority="2" operator="equal" dxfId="1">
      <formula>"À venir"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6" customWidth="1" min="9" max="9"/>
    <col width="20" customWidth="1" min="10" max="10"/>
    <col width="14" customWidth="1" min="11" max="11"/>
    <col width="17" customWidth="1" min="12" max="12"/>
    <col width="23" customWidth="1" min="13" max="13"/>
    <col width="15" customWidth="1" min="14" max="14"/>
  </cols>
  <sheetData>
    <row r="1" ht="22" customHeight="1">
      <c r="A1" s="2" t="inlineStr">
        <is>
          <t>CODE</t>
        </is>
      </c>
      <c r="B1" s="2" t="inlineStr">
        <is>
          <t>MATRICULE</t>
        </is>
      </c>
      <c r="C1" s="2" t="inlineStr">
        <is>
          <t>MODELE</t>
        </is>
      </c>
      <c r="D1" s="2" t="inlineStr">
        <is>
          <t>CATEGORIE</t>
        </is>
      </c>
      <c r="E1" s="2" t="inlineStr">
        <is>
          <t>BOITE</t>
        </is>
      </c>
      <c r="F1" s="2" t="inlineStr">
        <is>
          <t>AGENCE</t>
        </is>
      </c>
      <c r="G1" s="2" t="inlineStr">
        <is>
          <t>PRIX_JOUR</t>
        </is>
      </c>
      <c r="H1" s="2" t="inlineStr">
        <is>
          <t>STATUT</t>
        </is>
      </c>
      <c r="I1" s="2" t="inlineStr">
        <is>
          <t>FIN_MAINTENANCE</t>
        </is>
      </c>
      <c r="J1" s="2" t="inlineStr">
        <is>
          <t>MISE_EN_CIRCULATION</t>
        </is>
      </c>
      <c r="K1" s="2" t="inlineStr">
        <is>
          <t>KM</t>
        </is>
      </c>
      <c r="L1" s="2" t="inlineStr">
        <is>
          <t>ASSURANCE_EXPIRE</t>
        </is>
      </c>
      <c r="M1" s="2" t="inlineStr">
        <is>
          <t>VISITE_TECHNIQUE_EXPIRE</t>
        </is>
      </c>
      <c r="N1" s="3" t="inlineStr">
        <is>
          <t>DISPONIBILITE</t>
        </is>
      </c>
    </row>
    <row r="2">
      <c r="A2" t="inlineStr">
        <is>
          <t>CIT-01</t>
        </is>
      </c>
      <c r="B2" t="inlineStr">
        <is>
          <t>88778-A-1</t>
        </is>
      </c>
      <c r="C2" t="inlineStr">
        <is>
          <t>Dacia Sandero</t>
        </is>
      </c>
      <c r="D2" t="inlineStr">
        <is>
          <t>citadine</t>
        </is>
      </c>
      <c r="E2" t="inlineStr">
        <is>
          <t>manuelle</t>
        </is>
      </c>
      <c r="F2" t="inlineStr">
        <is>
          <t>Agdal</t>
        </is>
      </c>
      <c r="G2" s="4" t="n">
        <v>200</v>
      </c>
      <c r="H2" t="inlineStr">
        <is>
          <t>active</t>
        </is>
      </c>
      <c r="I2" s="5" t="n"/>
      <c r="J2" s="5" t="n">
        <v>43633</v>
      </c>
      <c r="K2" t="n">
        <v>234605</v>
      </c>
      <c r="L2" s="5" t="n">
        <v>46315</v>
      </c>
      <c r="M2" s="5" t="n">
        <v>46334</v>
      </c>
      <c r="N2">
        <f>IF(H2="maintenance","Maintenance",IF(COUNTIFS(Locations!B:B,B2,Locations!E:E,"&lt;="&amp;TODAY(),Locations!F:F,"&gt;"&amp;TODAY())&gt;0,"Louée","Disponible"))</f>
        <v/>
      </c>
    </row>
    <row r="3">
      <c r="A3" t="inlineStr">
        <is>
          <t>CIT-02</t>
        </is>
      </c>
      <c r="B3" t="inlineStr">
        <is>
          <t>74343-B-1</t>
        </is>
      </c>
      <c r="C3" t="inlineStr">
        <is>
          <t>Dacia Sandero Stepway</t>
        </is>
      </c>
      <c r="D3" t="inlineStr">
        <is>
          <t>citadine</t>
        </is>
      </c>
      <c r="E3" t="inlineStr">
        <is>
          <t>manuelle</t>
        </is>
      </c>
      <c r="F3" t="inlineStr">
        <is>
          <t>Hay Riad</t>
        </is>
      </c>
      <c r="G3" s="4" t="n">
        <v>230</v>
      </c>
      <c r="H3" t="inlineStr">
        <is>
          <t>active</t>
        </is>
      </c>
      <c r="I3" s="5" t="n"/>
      <c r="J3" s="5" t="n">
        <v>45183</v>
      </c>
      <c r="K3" t="n">
        <v>91236</v>
      </c>
      <c r="L3" s="5" t="n">
        <v>46383</v>
      </c>
      <c r="M3" s="5" t="n"/>
      <c r="N3">
        <f>IF(H3="maintenance","Maintenance",IF(COUNTIFS(Locations!B:B,B3,Locations!E:E,"&lt;="&amp;TODAY(),Locations!F:F,"&gt;"&amp;TODAY())&gt;0,"Louée","Disponible"))</f>
        <v/>
      </c>
    </row>
    <row r="4">
      <c r="A4" t="inlineStr">
        <is>
          <t>CIT-03</t>
        </is>
      </c>
      <c r="B4" t="inlineStr">
        <is>
          <t>47649-D-1</t>
        </is>
      </c>
      <c r="C4" t="inlineStr">
        <is>
          <t>Renault Clio 5</t>
        </is>
      </c>
      <c r="D4" t="inlineStr">
        <is>
          <t>citadine</t>
        </is>
      </c>
      <c r="E4" t="inlineStr">
        <is>
          <t>manuelle</t>
        </is>
      </c>
      <c r="F4" t="inlineStr">
        <is>
          <t>Agdal</t>
        </is>
      </c>
      <c r="G4" s="4" t="n">
        <v>250</v>
      </c>
      <c r="H4" t="inlineStr">
        <is>
          <t>active</t>
        </is>
      </c>
      <c r="I4" s="5" t="n"/>
      <c r="J4" s="5" t="n">
        <v>45146</v>
      </c>
      <c r="K4" t="n">
        <v>63021</v>
      </c>
      <c r="L4" s="5" t="n">
        <v>46299</v>
      </c>
      <c r="M4" s="5" t="n"/>
      <c r="N4">
        <f>IF(H4="maintenance","Maintenance",IF(COUNTIFS(Locations!B:B,B4,Locations!E:E,"&lt;="&amp;TODAY(),Locations!F:F,"&gt;"&amp;TODAY())&gt;0,"Louée","Disponible"))</f>
        <v/>
      </c>
    </row>
    <row r="5">
      <c r="A5" t="inlineStr">
        <is>
          <t>CIT-04</t>
        </is>
      </c>
      <c r="B5" t="inlineStr">
        <is>
          <t>62064-H-1</t>
        </is>
      </c>
      <c r="C5" t="inlineStr">
        <is>
          <t>Renault Clio 5</t>
        </is>
      </c>
      <c r="D5" t="inlineStr">
        <is>
          <t>citadine</t>
        </is>
      </c>
      <c r="E5" t="inlineStr">
        <is>
          <t>automatique</t>
        </is>
      </c>
      <c r="F5" t="inlineStr">
        <is>
          <t>Aéroport Rabat-Salé</t>
        </is>
      </c>
      <c r="G5" s="4" t="n">
        <v>280</v>
      </c>
      <c r="H5" t="inlineStr">
        <is>
          <t>active</t>
        </is>
      </c>
      <c r="I5" s="5" t="n"/>
      <c r="J5" s="5" t="n">
        <v>43678</v>
      </c>
      <c r="K5" t="n">
        <v>218145</v>
      </c>
      <c r="L5" s="5" t="n">
        <v>46372</v>
      </c>
      <c r="M5" s="5" t="n">
        <v>46363</v>
      </c>
      <c r="N5">
        <f>IF(H5="maintenance","Maintenance",IF(COUNTIFS(Locations!B:B,B5,Locations!E:E,"&lt;="&amp;TODAY(),Locations!F:F,"&gt;"&amp;TODAY())&gt;0,"Louée","Disponible"))</f>
        <v/>
      </c>
    </row>
    <row r="6">
      <c r="A6" t="inlineStr">
        <is>
          <t>CIT-05</t>
        </is>
      </c>
      <c r="B6" t="inlineStr">
        <is>
          <t>54616-W-1</t>
        </is>
      </c>
      <c r="C6" t="inlineStr">
        <is>
          <t>Hyundai i10</t>
        </is>
      </c>
      <c r="D6" t="inlineStr">
        <is>
          <t>citadine</t>
        </is>
      </c>
      <c r="E6" t="inlineStr">
        <is>
          <t>manuelle</t>
        </is>
      </c>
      <c r="F6" t="inlineStr">
        <is>
          <t>Agdal</t>
        </is>
      </c>
      <c r="G6" s="4" t="n">
        <v>180</v>
      </c>
      <c r="H6" t="inlineStr">
        <is>
          <t>active</t>
        </is>
      </c>
      <c r="I6" s="5" t="n"/>
      <c r="J6" s="5" t="n">
        <v>44359</v>
      </c>
      <c r="K6" t="n">
        <v>160620</v>
      </c>
      <c r="L6" s="5" t="n">
        <v>46373</v>
      </c>
      <c r="M6" s="5" t="n">
        <v>46350</v>
      </c>
      <c r="N6">
        <f>IF(H6="maintenance","Maintenance",IF(COUNTIFS(Locations!B:B,B6,Locations!E:E,"&lt;="&amp;TODAY(),Locations!F:F,"&gt;"&amp;TODAY())&gt;0,"Louée","Disponible"))</f>
        <v/>
      </c>
    </row>
    <row r="7">
      <c r="A7" t="inlineStr">
        <is>
          <t>CIT-06</t>
        </is>
      </c>
      <c r="B7" t="inlineStr">
        <is>
          <t>85684-A-1</t>
        </is>
      </c>
      <c r="C7" t="inlineStr">
        <is>
          <t>Hyundai i20</t>
        </is>
      </c>
      <c r="D7" t="inlineStr">
        <is>
          <t>citadine</t>
        </is>
      </c>
      <c r="E7" t="inlineStr">
        <is>
          <t>manuelle</t>
        </is>
      </c>
      <c r="F7" t="inlineStr">
        <is>
          <t>Hay Riad</t>
        </is>
      </c>
      <c r="G7" s="4" t="n">
        <v>220</v>
      </c>
      <c r="H7" t="inlineStr">
        <is>
          <t>active</t>
        </is>
      </c>
      <c r="I7" s="5" t="n"/>
      <c r="J7" s="5" t="n">
        <v>43726</v>
      </c>
      <c r="K7" t="n">
        <v>167235</v>
      </c>
      <c r="L7" s="5" t="n">
        <v>46309</v>
      </c>
      <c r="M7" s="5" t="n">
        <v>46347</v>
      </c>
      <c r="N7">
        <f>IF(H7="maintenance","Maintenance",IF(COUNTIFS(Locations!B:B,B7,Locations!E:E,"&lt;="&amp;TODAY(),Locations!F:F,"&gt;"&amp;TODAY())&gt;0,"Louée","Disponible"))</f>
        <v/>
      </c>
    </row>
    <row r="8">
      <c r="A8" t="inlineStr">
        <is>
          <t>CIT-07</t>
        </is>
      </c>
      <c r="B8" t="inlineStr">
        <is>
          <t>62268-B-1</t>
        </is>
      </c>
      <c r="C8" t="inlineStr">
        <is>
          <t>Peugeot 208</t>
        </is>
      </c>
      <c r="D8" t="inlineStr">
        <is>
          <t>citadine</t>
        </is>
      </c>
      <c r="E8" t="inlineStr">
        <is>
          <t>manuelle</t>
        </is>
      </c>
      <c r="F8" t="inlineStr">
        <is>
          <t>Agdal</t>
        </is>
      </c>
      <c r="G8" s="4" t="n">
        <v>260</v>
      </c>
      <c r="H8" t="inlineStr">
        <is>
          <t>active</t>
        </is>
      </c>
      <c r="I8" s="5" t="n"/>
      <c r="J8" s="5" t="n">
        <v>44224</v>
      </c>
      <c r="K8" t="n">
        <v>165032</v>
      </c>
      <c r="L8" s="5" t="n">
        <v>46341</v>
      </c>
      <c r="M8" s="5" t="n">
        <v>46359</v>
      </c>
      <c r="N8">
        <f>IF(H8="maintenance","Maintenance",IF(COUNTIFS(Locations!B:B,B8,Locations!E:E,"&lt;="&amp;TODAY(),Locations!F:F,"&gt;"&amp;TODAY())&gt;0,"Louée","Disponible"))</f>
        <v/>
      </c>
    </row>
    <row r="9">
      <c r="A9" t="inlineStr">
        <is>
          <t>CIT-08</t>
        </is>
      </c>
      <c r="B9" t="inlineStr">
        <is>
          <t>88664-D-1</t>
        </is>
      </c>
      <c r="C9" t="inlineStr">
        <is>
          <t>Peugeot 208</t>
        </is>
      </c>
      <c r="D9" t="inlineStr">
        <is>
          <t>citadine</t>
        </is>
      </c>
      <c r="E9" t="inlineStr">
        <is>
          <t>automatique</t>
        </is>
      </c>
      <c r="F9" t="inlineStr">
        <is>
          <t>Aéroport Rabat-Salé</t>
        </is>
      </c>
      <c r="G9" s="4" t="n">
        <v>300</v>
      </c>
      <c r="H9" t="inlineStr">
        <is>
          <t>active</t>
        </is>
      </c>
      <c r="I9" s="5" t="n"/>
      <c r="J9" s="5" t="n">
        <v>45185</v>
      </c>
      <c r="K9" t="n">
        <v>94314</v>
      </c>
      <c r="L9" s="5" t="n">
        <v>46343</v>
      </c>
      <c r="M9" s="5" t="n"/>
      <c r="N9">
        <f>IF(H9="maintenance","Maintenance",IF(COUNTIFS(Locations!B:B,B9,Locations!E:E,"&lt;="&amp;TODAY(),Locations!F:F,"&gt;"&amp;TODAY())&gt;0,"Louée","Disponible"))</f>
        <v/>
      </c>
    </row>
    <row r="10">
      <c r="A10" t="inlineStr">
        <is>
          <t>CIT-09</t>
        </is>
      </c>
      <c r="B10" t="inlineStr">
        <is>
          <t>77893-H-1</t>
        </is>
      </c>
      <c r="C10" t="inlineStr">
        <is>
          <t>Fiat 500</t>
        </is>
      </c>
      <c r="D10" t="inlineStr">
        <is>
          <t>citadine</t>
        </is>
      </c>
      <c r="E10" t="inlineStr">
        <is>
          <t>manuelle</t>
        </is>
      </c>
      <c r="F10" t="inlineStr">
        <is>
          <t>Hay Riad</t>
        </is>
      </c>
      <c r="G10" s="4" t="n">
        <v>250</v>
      </c>
      <c r="H10" t="inlineStr">
        <is>
          <t>active</t>
        </is>
      </c>
      <c r="I10" s="5" t="n"/>
      <c r="J10" s="5" t="n">
        <v>44759</v>
      </c>
      <c r="K10" t="n">
        <v>98064</v>
      </c>
      <c r="L10" s="5" t="n">
        <v>46345</v>
      </c>
      <c r="M10" s="5" t="n">
        <v>46373</v>
      </c>
      <c r="N10">
        <f>IF(H10="maintenance","Maintenance",IF(COUNTIFS(Locations!B:B,B10,Locations!E:E,"&lt;="&amp;TODAY(),Locations!F:F,"&gt;"&amp;TODAY())&gt;0,"Louée","Disponible"))</f>
        <v/>
      </c>
    </row>
    <row r="11">
      <c r="A11" t="inlineStr">
        <is>
          <t>CIT-10</t>
        </is>
      </c>
      <c r="B11" t="inlineStr">
        <is>
          <t>91567-W-1</t>
        </is>
      </c>
      <c r="C11" t="inlineStr">
        <is>
          <t>Kia Picanto</t>
        </is>
      </c>
      <c r="D11" t="inlineStr">
        <is>
          <t>citadine</t>
        </is>
      </c>
      <c r="E11" t="inlineStr">
        <is>
          <t>manuelle</t>
        </is>
      </c>
      <c r="F11" t="inlineStr">
        <is>
          <t>Agdal</t>
        </is>
      </c>
      <c r="G11" s="4" t="n">
        <v>190</v>
      </c>
      <c r="H11" t="inlineStr">
        <is>
          <t>active</t>
        </is>
      </c>
      <c r="I11" s="5" t="n"/>
      <c r="J11" s="5" t="n">
        <v>43746</v>
      </c>
      <c r="K11" t="n">
        <v>208109</v>
      </c>
      <c r="L11" s="5" t="n">
        <v>46318</v>
      </c>
      <c r="M11" s="5" t="n">
        <v>46349</v>
      </c>
      <c r="N11">
        <f>IF(H11="maintenance","Maintenance",IF(COUNTIFS(Locations!B:B,B11,Locations!E:E,"&lt;="&amp;TODAY(),Locations!F:F,"&gt;"&amp;TODAY())&gt;0,"Louée","Disponible"))</f>
        <v/>
      </c>
    </row>
    <row r="12">
      <c r="A12" t="inlineStr">
        <is>
          <t>CIT-11</t>
        </is>
      </c>
      <c r="B12" t="inlineStr">
        <is>
          <t>69873-A-1</t>
        </is>
      </c>
      <c r="C12" t="inlineStr">
        <is>
          <t>Toyota Yaris</t>
        </is>
      </c>
      <c r="D12" t="inlineStr">
        <is>
          <t>citadine</t>
        </is>
      </c>
      <c r="E12" t="inlineStr">
        <is>
          <t>automatique</t>
        </is>
      </c>
      <c r="F12" t="inlineStr">
        <is>
          <t>Hay Riad</t>
        </is>
      </c>
      <c r="G12" s="4" t="n">
        <v>290</v>
      </c>
      <c r="H12" t="inlineStr">
        <is>
          <t>active</t>
        </is>
      </c>
      <c r="I12" s="5" t="n"/>
      <c r="J12" s="5" t="n">
        <v>44778</v>
      </c>
      <c r="K12" t="n">
        <v>108673</v>
      </c>
      <c r="L12" s="5" t="n">
        <v>46302</v>
      </c>
      <c r="M12" s="5" t="n">
        <v>46347</v>
      </c>
      <c r="N12">
        <f>IF(H12="maintenance","Maintenance",IF(COUNTIFS(Locations!B:B,B12,Locations!E:E,"&lt;="&amp;TODAY(),Locations!F:F,"&gt;"&amp;TODAY())&gt;0,"Louée","Disponible"))</f>
        <v/>
      </c>
    </row>
    <row r="13">
      <c r="A13" t="inlineStr">
        <is>
          <t>CIT-12</t>
        </is>
      </c>
      <c r="B13" t="inlineStr">
        <is>
          <t>83373-B-1</t>
        </is>
      </c>
      <c r="C13" t="inlineStr">
        <is>
          <t>Volkswagen Polo</t>
        </is>
      </c>
      <c r="D13" t="inlineStr">
        <is>
          <t>citadine</t>
        </is>
      </c>
      <c r="E13" t="inlineStr">
        <is>
          <t>manuelle</t>
        </is>
      </c>
      <c r="F13" t="inlineStr">
        <is>
          <t>Aéroport Rabat-Salé</t>
        </is>
      </c>
      <c r="G13" s="4" t="n">
        <v>270</v>
      </c>
      <c r="H13" t="inlineStr">
        <is>
          <t>active</t>
        </is>
      </c>
      <c r="I13" s="5" t="n"/>
      <c r="J13" s="5" t="n">
        <v>45527</v>
      </c>
      <c r="K13" t="n">
        <v>66786</v>
      </c>
      <c r="L13" s="5" t="n">
        <v>46365</v>
      </c>
      <c r="M13" s="5" t="n"/>
      <c r="N13">
        <f>IF(H13="maintenance","Maintenance",IF(COUNTIFS(Locations!B:B,B13,Locations!E:E,"&lt;="&amp;TODAY(),Locations!F:F,"&gt;"&amp;TODAY())&gt;0,"Louée","Disponible"))</f>
        <v/>
      </c>
    </row>
    <row r="14">
      <c r="A14" t="inlineStr">
        <is>
          <t>BER-01</t>
        </is>
      </c>
      <c r="B14" t="inlineStr">
        <is>
          <t>72769-D-1</t>
        </is>
      </c>
      <c r="C14" t="inlineStr">
        <is>
          <t>Dacia Logan</t>
        </is>
      </c>
      <c r="D14" t="inlineStr">
        <is>
          <t>berline</t>
        </is>
      </c>
      <c r="E14" t="inlineStr">
        <is>
          <t>manuelle</t>
        </is>
      </c>
      <c r="F14" t="inlineStr">
        <is>
          <t>Agdal</t>
        </is>
      </c>
      <c r="G14" s="4" t="n">
        <v>180</v>
      </c>
      <c r="H14" t="inlineStr">
        <is>
          <t>active</t>
        </is>
      </c>
      <c r="I14" s="5" t="n"/>
      <c r="J14" s="5" t="n">
        <v>44875</v>
      </c>
      <c r="K14" t="n">
        <v>104972</v>
      </c>
      <c r="L14" s="5" t="n">
        <v>46373</v>
      </c>
      <c r="M14" s="5" t="n"/>
      <c r="N14">
        <f>IF(H14="maintenance","Maintenance",IF(COUNTIFS(Locations!B:B,B14,Locations!E:E,"&lt;="&amp;TODAY(),Locations!F:F,"&gt;"&amp;TODAY())&gt;0,"Louée","Disponible"))</f>
        <v/>
      </c>
    </row>
    <row r="15">
      <c r="A15" t="inlineStr">
        <is>
          <t>BER-02</t>
        </is>
      </c>
      <c r="B15" t="inlineStr">
        <is>
          <t>95936-H-1</t>
        </is>
      </c>
      <c r="C15" t="inlineStr">
        <is>
          <t>Renault Mégane</t>
        </is>
      </c>
      <c r="D15" t="inlineStr">
        <is>
          <t>berline</t>
        </is>
      </c>
      <c r="E15" t="inlineStr">
        <is>
          <t>automatique</t>
        </is>
      </c>
      <c r="F15" t="inlineStr">
        <is>
          <t>Hay Riad</t>
        </is>
      </c>
      <c r="G15" s="4" t="n">
        <v>380</v>
      </c>
      <c r="H15" t="inlineStr">
        <is>
          <t>active</t>
        </is>
      </c>
      <c r="I15" s="5" t="n"/>
      <c r="J15" s="5" t="n">
        <v>44749</v>
      </c>
      <c r="K15" t="n">
        <v>100632</v>
      </c>
      <c r="L15" s="5" t="n">
        <v>46327</v>
      </c>
      <c r="M15" s="5" t="n">
        <v>46331</v>
      </c>
      <c r="N15">
        <f>IF(H15="maintenance","Maintenance",IF(COUNTIFS(Locations!B:B,B15,Locations!E:E,"&lt;="&amp;TODAY(),Locations!F:F,"&gt;"&amp;TODAY())&gt;0,"Louée","Disponible"))</f>
        <v/>
      </c>
    </row>
    <row r="16">
      <c r="A16" t="inlineStr">
        <is>
          <t>BER-03</t>
        </is>
      </c>
      <c r="B16" t="inlineStr">
        <is>
          <t>36193-W-1</t>
        </is>
      </c>
      <c r="C16" t="inlineStr">
        <is>
          <t>Peugeot 308</t>
        </is>
      </c>
      <c r="D16" t="inlineStr">
        <is>
          <t>berline</t>
        </is>
      </c>
      <c r="E16" t="inlineStr">
        <is>
          <t>automatique</t>
        </is>
      </c>
      <c r="F16" t="inlineStr">
        <is>
          <t>Agdal</t>
        </is>
      </c>
      <c r="G16" s="4" t="n">
        <v>400</v>
      </c>
      <c r="H16" t="inlineStr">
        <is>
          <t>active</t>
        </is>
      </c>
      <c r="I16" s="5" t="n"/>
      <c r="J16" s="5" t="n">
        <v>45164</v>
      </c>
      <c r="K16" t="n">
        <v>82537</v>
      </c>
      <c r="L16" s="5" t="n">
        <v>46338</v>
      </c>
      <c r="M16" s="5" t="n"/>
      <c r="N16">
        <f>IF(H16="maintenance","Maintenance",IF(COUNTIFS(Locations!B:B,B16,Locations!E:E,"&lt;="&amp;TODAY(),Locations!F:F,"&gt;"&amp;TODAY())&gt;0,"Louée","Disponible"))</f>
        <v/>
      </c>
    </row>
    <row r="17">
      <c r="A17" t="inlineStr">
        <is>
          <t>BER-04</t>
        </is>
      </c>
      <c r="B17" t="inlineStr">
        <is>
          <t>97018-A-1</t>
        </is>
      </c>
      <c r="C17" t="inlineStr">
        <is>
          <t>Hyundai Accent</t>
        </is>
      </c>
      <c r="D17" t="inlineStr">
        <is>
          <t>berline</t>
        </is>
      </c>
      <c r="E17" t="inlineStr">
        <is>
          <t>automatique</t>
        </is>
      </c>
      <c r="F17" t="inlineStr">
        <is>
          <t>Hay Riad</t>
        </is>
      </c>
      <c r="G17" s="4" t="n">
        <v>350</v>
      </c>
      <c r="H17" t="inlineStr">
        <is>
          <t>active</t>
        </is>
      </c>
      <c r="I17" s="5" t="n"/>
      <c r="J17" s="5" t="n">
        <v>44546</v>
      </c>
      <c r="K17" t="n">
        <v>124404</v>
      </c>
      <c r="L17" s="5" t="n">
        <v>46310</v>
      </c>
      <c r="M17" s="5" t="n">
        <v>46374</v>
      </c>
      <c r="N17">
        <f>IF(H17="maintenance","Maintenance",IF(COUNTIFS(Locations!B:B,B17,Locations!E:E,"&lt;="&amp;TODAY(),Locations!F:F,"&gt;"&amp;TODAY())&gt;0,"Louée","Disponible"))</f>
        <v/>
      </c>
    </row>
    <row r="18">
      <c r="A18" t="inlineStr">
        <is>
          <t>BER-05</t>
        </is>
      </c>
      <c r="B18" t="inlineStr">
        <is>
          <t>33992-B-1</t>
        </is>
      </c>
      <c r="C18" t="inlineStr">
        <is>
          <t>Toyota Corolla</t>
        </is>
      </c>
      <c r="D18" t="inlineStr">
        <is>
          <t>berline</t>
        </is>
      </c>
      <c r="E18" t="inlineStr">
        <is>
          <t>automatique</t>
        </is>
      </c>
      <c r="F18" t="inlineStr">
        <is>
          <t>Agdal</t>
        </is>
      </c>
      <c r="G18" s="4" t="n">
        <v>420</v>
      </c>
      <c r="H18" t="inlineStr">
        <is>
          <t>active</t>
        </is>
      </c>
      <c r="I18" s="5" t="n"/>
      <c r="J18" s="5" t="n">
        <v>43596</v>
      </c>
      <c r="K18" t="n">
        <v>191322</v>
      </c>
      <c r="L18" s="5" t="n">
        <v>46310</v>
      </c>
      <c r="M18" s="5" t="n">
        <v>46371</v>
      </c>
      <c r="N18">
        <f>IF(H18="maintenance","Maintenance",IF(COUNTIFS(Locations!B:B,B18,Locations!E:E,"&lt;="&amp;TODAY(),Locations!F:F,"&gt;"&amp;TODAY())&gt;0,"Louée","Disponible"))</f>
        <v/>
      </c>
    </row>
    <row r="19">
      <c r="A19" t="inlineStr">
        <is>
          <t>BER-06</t>
        </is>
      </c>
      <c r="B19" t="inlineStr">
        <is>
          <t>75329-D-1</t>
        </is>
      </c>
      <c r="C19" t="inlineStr">
        <is>
          <t>Skoda Octavia</t>
        </is>
      </c>
      <c r="D19" t="inlineStr">
        <is>
          <t>berline</t>
        </is>
      </c>
      <c r="E19" t="inlineStr">
        <is>
          <t>automatique</t>
        </is>
      </c>
      <c r="F19" t="inlineStr">
        <is>
          <t>Aéroport Rabat-Salé</t>
        </is>
      </c>
      <c r="G19" s="4" t="n">
        <v>450</v>
      </c>
      <c r="H19" t="inlineStr">
        <is>
          <t>active</t>
        </is>
      </c>
      <c r="I19" s="5" t="n"/>
      <c r="J19" s="5" t="n">
        <v>44911</v>
      </c>
      <c r="K19" t="n">
        <v>121220</v>
      </c>
      <c r="L19" s="5" t="n">
        <v>46365</v>
      </c>
      <c r="M19" s="5" t="n"/>
      <c r="N19">
        <f>IF(H19="maintenance","Maintenance",IF(COUNTIFS(Locations!B:B,B19,Locations!E:E,"&lt;="&amp;TODAY(),Locations!F:F,"&gt;"&amp;TODAY())&gt;0,"Louée","Disponible"))</f>
        <v/>
      </c>
    </row>
    <row r="20">
      <c r="A20" t="inlineStr">
        <is>
          <t>BER-07</t>
        </is>
      </c>
      <c r="B20" t="inlineStr">
        <is>
          <t>22080-H-1</t>
        </is>
      </c>
      <c r="C20" t="inlineStr">
        <is>
          <t>Fiat Tipo</t>
        </is>
      </c>
      <c r="D20" t="inlineStr">
        <is>
          <t>berline</t>
        </is>
      </c>
      <c r="E20" t="inlineStr">
        <is>
          <t>manuelle</t>
        </is>
      </c>
      <c r="F20" t="inlineStr">
        <is>
          <t>Agdal</t>
        </is>
      </c>
      <c r="G20" s="4" t="n">
        <v>280</v>
      </c>
      <c r="H20" t="inlineStr">
        <is>
          <t>active</t>
        </is>
      </c>
      <c r="I20" s="5" t="n"/>
      <c r="J20" s="5" t="n">
        <v>44234</v>
      </c>
      <c r="K20" t="n">
        <v>166873</v>
      </c>
      <c r="L20" s="5" t="n">
        <v>46331</v>
      </c>
      <c r="M20" s="5" t="n">
        <v>46357</v>
      </c>
      <c r="N20">
        <f>IF(H20="maintenance","Maintenance",IF(COUNTIFS(Locations!B:B,B20,Locations!E:E,"&lt;="&amp;TODAY(),Locations!F:F,"&gt;"&amp;TODAY())&gt;0,"Louée","Disponible"))</f>
        <v/>
      </c>
    </row>
    <row r="21">
      <c r="A21" t="inlineStr">
        <is>
          <t>BER-08</t>
        </is>
      </c>
      <c r="B21" t="inlineStr">
        <is>
          <t>25835-W-1</t>
        </is>
      </c>
      <c r="C21" t="inlineStr">
        <is>
          <t>Volkswagen Jetta</t>
        </is>
      </c>
      <c r="D21" t="inlineStr">
        <is>
          <t>berline</t>
        </is>
      </c>
      <c r="E21" t="inlineStr">
        <is>
          <t>automatique</t>
        </is>
      </c>
      <c r="F21" t="inlineStr">
        <is>
          <t>Hay Riad</t>
        </is>
      </c>
      <c r="G21" s="4" t="n">
        <v>480</v>
      </c>
      <c r="H21" t="inlineStr">
        <is>
          <t>active</t>
        </is>
      </c>
      <c r="I21" s="5" t="n"/>
      <c r="J21" s="5" t="n">
        <v>43696</v>
      </c>
      <c r="K21" t="n">
        <v>192294</v>
      </c>
      <c r="L21" s="5" t="n">
        <v>46315</v>
      </c>
      <c r="M21" s="5" t="n">
        <v>46334</v>
      </c>
      <c r="N21">
        <f>IF(H21="maintenance","Maintenance",IF(COUNTIFS(Locations!B:B,B21,Locations!E:E,"&lt;="&amp;TODAY(),Locations!F:F,"&gt;"&amp;TODAY())&gt;0,"Louée","Disponible"))</f>
        <v/>
      </c>
    </row>
    <row r="22">
      <c r="A22" t="inlineStr">
        <is>
          <t>SUV-01</t>
        </is>
      </c>
      <c r="B22" t="inlineStr">
        <is>
          <t>97618-A-1</t>
        </is>
      </c>
      <c r="C22" t="inlineStr">
        <is>
          <t>Dacia Duster</t>
        </is>
      </c>
      <c r="D22" t="inlineStr">
        <is>
          <t>suv</t>
        </is>
      </c>
      <c r="E22" t="inlineStr">
        <is>
          <t>manuelle</t>
        </is>
      </c>
      <c r="F22" t="inlineStr">
        <is>
          <t>Agdal</t>
        </is>
      </c>
      <c r="G22" s="4" t="n">
        <v>400</v>
      </c>
      <c r="H22" t="inlineStr">
        <is>
          <t>active</t>
        </is>
      </c>
      <c r="I22" s="5" t="n"/>
      <c r="J22" s="5" t="n">
        <v>44951</v>
      </c>
      <c r="K22" t="n">
        <v>99254</v>
      </c>
      <c r="L22" s="5" t="n">
        <v>46303</v>
      </c>
      <c r="M22" s="5" t="n"/>
      <c r="N22">
        <f>IF(H22="maintenance","Maintenance",IF(COUNTIFS(Locations!B:B,B22,Locations!E:E,"&lt;="&amp;TODAY(),Locations!F:F,"&gt;"&amp;TODAY())&gt;0,"Louée","Disponible"))</f>
        <v/>
      </c>
    </row>
    <row r="23">
      <c r="A23" t="inlineStr">
        <is>
          <t>SUV-02</t>
        </is>
      </c>
      <c r="B23" t="inlineStr">
        <is>
          <t>85272-B-1</t>
        </is>
      </c>
      <c r="C23" t="inlineStr">
        <is>
          <t>Dacia Duster</t>
        </is>
      </c>
      <c r="D23" t="inlineStr">
        <is>
          <t>suv</t>
        </is>
      </c>
      <c r="E23" t="inlineStr">
        <is>
          <t>automatique</t>
        </is>
      </c>
      <c r="F23" t="inlineStr">
        <is>
          <t>Hay Riad</t>
        </is>
      </c>
      <c r="G23" s="4" t="n">
        <v>450</v>
      </c>
      <c r="H23" t="inlineStr">
        <is>
          <t>active</t>
        </is>
      </c>
      <c r="I23" s="5" t="n"/>
      <c r="J23" s="5" t="n">
        <v>45448</v>
      </c>
      <c r="K23" t="n">
        <v>46461</v>
      </c>
      <c r="L23" s="5" t="n">
        <v>46375</v>
      </c>
      <c r="M23" s="5" t="n"/>
      <c r="N23">
        <f>IF(H23="maintenance","Maintenance",IF(COUNTIFS(Locations!B:B,B23,Locations!E:E,"&lt;="&amp;TODAY(),Locations!F:F,"&gt;"&amp;TODAY())&gt;0,"Louée","Disponible"))</f>
        <v/>
      </c>
    </row>
    <row r="24">
      <c r="A24" t="inlineStr">
        <is>
          <t>SUV-03</t>
        </is>
      </c>
      <c r="B24" t="inlineStr">
        <is>
          <t>71994-D-1</t>
        </is>
      </c>
      <c r="C24" t="inlineStr">
        <is>
          <t>Hyundai Tucson</t>
        </is>
      </c>
      <c r="D24" t="inlineStr">
        <is>
          <t>suv</t>
        </is>
      </c>
      <c r="E24" t="inlineStr">
        <is>
          <t>automatique</t>
        </is>
      </c>
      <c r="F24" t="inlineStr">
        <is>
          <t>Agdal</t>
        </is>
      </c>
      <c r="G24" s="4" t="n">
        <v>550</v>
      </c>
      <c r="H24" t="inlineStr">
        <is>
          <t>active</t>
        </is>
      </c>
      <c r="I24" s="5" t="n"/>
      <c r="J24" s="5" t="n">
        <v>44919</v>
      </c>
      <c r="K24" t="n">
        <v>120391</v>
      </c>
      <c r="L24" s="5" t="n">
        <v>46364</v>
      </c>
      <c r="M24" s="5" t="n"/>
      <c r="N24">
        <f>IF(H24="maintenance","Maintenance",IF(COUNTIFS(Locations!B:B,B24,Locations!E:E,"&lt;="&amp;TODAY(),Locations!F:F,"&gt;"&amp;TODAY())&gt;0,"Louée","Disponible"))</f>
        <v/>
      </c>
    </row>
    <row r="25">
      <c r="A25" t="inlineStr">
        <is>
          <t>SUV-04</t>
        </is>
      </c>
      <c r="B25" t="inlineStr">
        <is>
          <t>21066-H-1</t>
        </is>
      </c>
      <c r="C25" t="inlineStr">
        <is>
          <t>Hyundai Creta</t>
        </is>
      </c>
      <c r="D25" t="inlineStr">
        <is>
          <t>suv</t>
        </is>
      </c>
      <c r="E25" t="inlineStr">
        <is>
          <t>automatique</t>
        </is>
      </c>
      <c r="F25" t="inlineStr">
        <is>
          <t>Hay Riad</t>
        </is>
      </c>
      <c r="G25" s="4" t="n">
        <v>500</v>
      </c>
      <c r="H25" t="inlineStr">
        <is>
          <t>active</t>
        </is>
      </c>
      <c r="I25" s="5" t="n"/>
      <c r="J25" s="5" t="n">
        <v>45005</v>
      </c>
      <c r="K25" t="n">
        <v>110072</v>
      </c>
      <c r="L25" s="5" t="n">
        <v>46366</v>
      </c>
      <c r="M25" s="5" t="n"/>
      <c r="N25">
        <f>IF(H25="maintenance","Maintenance",IF(COUNTIFS(Locations!B:B,B25,Locations!E:E,"&lt;="&amp;TODAY(),Locations!F:F,"&gt;"&amp;TODAY())&gt;0,"Louée","Disponible"))</f>
        <v/>
      </c>
    </row>
    <row r="26">
      <c r="A26" t="inlineStr">
        <is>
          <t>SUV-05</t>
        </is>
      </c>
      <c r="B26" t="inlineStr">
        <is>
          <t>76545-W-1</t>
        </is>
      </c>
      <c r="C26" t="inlineStr">
        <is>
          <t>Kia Sportage</t>
        </is>
      </c>
      <c r="D26" t="inlineStr">
        <is>
          <t>suv</t>
        </is>
      </c>
      <c r="E26" t="inlineStr">
        <is>
          <t>automatique</t>
        </is>
      </c>
      <c r="F26" t="inlineStr">
        <is>
          <t>Agdal</t>
        </is>
      </c>
      <c r="G26" s="4" t="n">
        <v>600</v>
      </c>
      <c r="H26" t="inlineStr">
        <is>
          <t>active</t>
        </is>
      </c>
      <c r="I26" s="5" t="n"/>
      <c r="J26" s="5" t="n">
        <v>44871</v>
      </c>
      <c r="K26" t="n">
        <v>124484</v>
      </c>
      <c r="L26" s="5" t="n">
        <v>46366</v>
      </c>
      <c r="M26" s="5" t="n"/>
      <c r="N26">
        <f>IF(H26="maintenance","Maintenance",IF(COUNTIFS(Locations!B:B,B26,Locations!E:E,"&lt;="&amp;TODAY(),Locations!F:F,"&gt;"&amp;TODAY())&gt;0,"Louée","Disponible"))</f>
        <v/>
      </c>
    </row>
    <row r="27">
      <c r="A27" t="inlineStr">
        <is>
          <t>SUV-06</t>
        </is>
      </c>
      <c r="B27" t="inlineStr">
        <is>
          <t>23911-A-1</t>
        </is>
      </c>
      <c r="C27" t="inlineStr">
        <is>
          <t>Peugeot 3008</t>
        </is>
      </c>
      <c r="D27" t="inlineStr">
        <is>
          <t>suv</t>
        </is>
      </c>
      <c r="E27" t="inlineStr">
        <is>
          <t>automatique</t>
        </is>
      </c>
      <c r="F27" t="inlineStr">
        <is>
          <t>Aéroport Rabat-Salé</t>
        </is>
      </c>
      <c r="G27" s="4" t="n">
        <v>650</v>
      </c>
      <c r="H27" t="inlineStr">
        <is>
          <t>maintenance</t>
        </is>
      </c>
      <c r="I27" s="5" t="n">
        <v>46310</v>
      </c>
      <c r="J27" s="5" t="n">
        <v>44768</v>
      </c>
      <c r="K27" t="n">
        <v>91622</v>
      </c>
      <c r="L27" s="5" t="n">
        <v>46301</v>
      </c>
      <c r="M27" s="5" t="n">
        <v>46357</v>
      </c>
      <c r="N27">
        <f>IF(H27="maintenance","Maintenance",IF(COUNTIFS(Locations!B:B,B27,Locations!E:E,"&lt;="&amp;TODAY(),Locations!F:F,"&gt;"&amp;TODAY())&gt;0,"Louée","Disponible"))</f>
        <v/>
      </c>
    </row>
    <row r="28">
      <c r="A28" t="inlineStr">
        <is>
          <t>SUV-07</t>
        </is>
      </c>
      <c r="B28" t="inlineStr">
        <is>
          <t>76897-B-1</t>
        </is>
      </c>
      <c r="C28" t="inlineStr">
        <is>
          <t>Renault Kadjar</t>
        </is>
      </c>
      <c r="D28" t="inlineStr">
        <is>
          <t>suv</t>
        </is>
      </c>
      <c r="E28" t="inlineStr">
        <is>
          <t>automatique</t>
        </is>
      </c>
      <c r="F28" t="inlineStr">
        <is>
          <t>Agdal</t>
        </is>
      </c>
      <c r="G28" s="4" t="n">
        <v>520</v>
      </c>
      <c r="H28" t="inlineStr">
        <is>
          <t>active</t>
        </is>
      </c>
      <c r="I28" s="5" t="n"/>
      <c r="J28" s="5" t="n">
        <v>44594</v>
      </c>
      <c r="K28" t="n">
        <v>142774</v>
      </c>
      <c r="L28" s="5" t="n">
        <v>46368</v>
      </c>
      <c r="M28" s="5" t="n">
        <v>46327</v>
      </c>
      <c r="N28">
        <f>IF(H28="maintenance","Maintenance",IF(COUNTIFS(Locations!B:B,B28,Locations!E:E,"&lt;="&amp;TODAY(),Locations!F:F,"&gt;"&amp;TODAY())&gt;0,"Louée","Disponible"))</f>
        <v/>
      </c>
    </row>
    <row r="29">
      <c r="A29" t="inlineStr">
        <is>
          <t>SUV-08</t>
        </is>
      </c>
      <c r="B29" t="inlineStr">
        <is>
          <t>84923-D-1</t>
        </is>
      </c>
      <c r="C29" t="inlineStr">
        <is>
          <t>Volkswagen T-Roc</t>
        </is>
      </c>
      <c r="D29" t="inlineStr">
        <is>
          <t>suv</t>
        </is>
      </c>
      <c r="E29" t="inlineStr">
        <is>
          <t>automatique</t>
        </is>
      </c>
      <c r="F29" t="inlineStr">
        <is>
          <t>Hay Riad</t>
        </is>
      </c>
      <c r="G29" s="4" t="n">
        <v>580</v>
      </c>
      <c r="H29" t="inlineStr">
        <is>
          <t>active</t>
        </is>
      </c>
      <c r="I29" s="5" t="n"/>
      <c r="J29" s="5" t="n">
        <v>44734</v>
      </c>
      <c r="K29" t="n">
        <v>102117</v>
      </c>
      <c r="L29" s="5" t="n">
        <v>46330</v>
      </c>
      <c r="M29" s="5" t="n">
        <v>46371</v>
      </c>
      <c r="N29">
        <f>IF(H29="maintenance","Maintenance",IF(COUNTIFS(Locations!B:B,B29,Locations!E:E,"&lt;="&amp;TODAY(),Locations!F:F,"&gt;"&amp;TODAY())&gt;0,"Louée","Disponible"))</f>
        <v/>
      </c>
    </row>
    <row r="30">
      <c r="A30" t="inlineStr">
        <is>
          <t>PRE-01</t>
        </is>
      </c>
      <c r="B30" t="inlineStr">
        <is>
          <t>91702-H-1</t>
        </is>
      </c>
      <c r="C30" t="inlineStr">
        <is>
          <t>Mercedes Classe A</t>
        </is>
      </c>
      <c r="D30" t="inlineStr">
        <is>
          <t>premium</t>
        </is>
      </c>
      <c r="E30" t="inlineStr">
        <is>
          <t>automatique</t>
        </is>
      </c>
      <c r="F30" t="inlineStr">
        <is>
          <t>Agdal</t>
        </is>
      </c>
      <c r="G30" s="4" t="n">
        <v>800</v>
      </c>
      <c r="H30" t="inlineStr">
        <is>
          <t>active</t>
        </is>
      </c>
      <c r="I30" s="5" t="n"/>
      <c r="J30" s="5" t="n">
        <v>44990</v>
      </c>
      <c r="K30" t="n">
        <v>98402</v>
      </c>
      <c r="L30" s="5" t="n">
        <v>46309</v>
      </c>
      <c r="M30" s="5" t="n"/>
      <c r="N30">
        <f>IF(H30="maintenance","Maintenance",IF(COUNTIFS(Locations!B:B,B30,Locations!E:E,"&lt;="&amp;TODAY(),Locations!F:F,"&gt;"&amp;TODAY())&gt;0,"Louée","Disponible"))</f>
        <v/>
      </c>
    </row>
    <row r="31">
      <c r="A31" t="inlineStr">
        <is>
          <t>PRE-02</t>
        </is>
      </c>
      <c r="B31" t="inlineStr">
        <is>
          <t>35623-W-1</t>
        </is>
      </c>
      <c r="C31" t="inlineStr">
        <is>
          <t>Mercedes Classe C</t>
        </is>
      </c>
      <c r="D31" t="inlineStr">
        <is>
          <t>premium</t>
        </is>
      </c>
      <c r="E31" t="inlineStr">
        <is>
          <t>automatique</t>
        </is>
      </c>
      <c r="F31" t="inlineStr">
        <is>
          <t>Aéroport Rabat-Salé</t>
        </is>
      </c>
      <c r="G31" s="4" t="n">
        <v>1200</v>
      </c>
      <c r="H31" t="inlineStr">
        <is>
          <t>active</t>
        </is>
      </c>
      <c r="I31" s="5" t="n"/>
      <c r="J31" s="5" t="n">
        <v>44428</v>
      </c>
      <c r="K31" t="n">
        <v>117615</v>
      </c>
      <c r="L31" s="5" t="n">
        <v>46359</v>
      </c>
      <c r="M31" s="5" t="n">
        <v>46358</v>
      </c>
      <c r="N31">
        <f>IF(H31="maintenance","Maintenance",IF(COUNTIFS(Locations!B:B,B31,Locations!E:E,"&lt;="&amp;TODAY(),Locations!F:F,"&gt;"&amp;TODAY())&gt;0,"Louée","Disponible"))</f>
        <v/>
      </c>
    </row>
    <row r="32">
      <c r="A32" t="inlineStr">
        <is>
          <t>PRE-03</t>
        </is>
      </c>
      <c r="B32" t="inlineStr">
        <is>
          <t>69221-A-1</t>
        </is>
      </c>
      <c r="C32" t="inlineStr">
        <is>
          <t>BMW Série 3</t>
        </is>
      </c>
      <c r="D32" t="inlineStr">
        <is>
          <t>premium</t>
        </is>
      </c>
      <c r="E32" t="inlineStr">
        <is>
          <t>automatique</t>
        </is>
      </c>
      <c r="F32" t="inlineStr">
        <is>
          <t>Agdal</t>
        </is>
      </c>
      <c r="G32" s="4" t="n">
        <v>1100</v>
      </c>
      <c r="H32" t="inlineStr">
        <is>
          <t>active</t>
        </is>
      </c>
      <c r="I32" s="5" t="n"/>
      <c r="J32" s="5" t="n">
        <v>45353</v>
      </c>
      <c r="K32" t="n">
        <v>72793</v>
      </c>
      <c r="L32" s="5" t="n">
        <v>46296</v>
      </c>
      <c r="M32" s="5" t="n"/>
      <c r="N32">
        <f>IF(H32="maintenance","Maintenance",IF(COUNTIFS(Locations!B:B,B32,Locations!E:E,"&lt;="&amp;TODAY(),Locations!F:F,"&gt;"&amp;TODAY())&gt;0,"Louée","Disponible"))</f>
        <v/>
      </c>
    </row>
    <row r="33">
      <c r="A33" t="inlineStr">
        <is>
          <t>PRE-04</t>
        </is>
      </c>
      <c r="B33" t="inlineStr">
        <is>
          <t>94626-B-1</t>
        </is>
      </c>
      <c r="C33" t="inlineStr">
        <is>
          <t>Audi A3</t>
        </is>
      </c>
      <c r="D33" t="inlineStr">
        <is>
          <t>premium</t>
        </is>
      </c>
      <c r="E33" t="inlineStr">
        <is>
          <t>automatique</t>
        </is>
      </c>
      <c r="F33" t="inlineStr">
        <is>
          <t>Hay Riad</t>
        </is>
      </c>
      <c r="G33" s="4" t="n">
        <v>900</v>
      </c>
      <c r="H33" t="inlineStr">
        <is>
          <t>active</t>
        </is>
      </c>
      <c r="I33" s="5" t="n"/>
      <c r="J33" s="5" t="n">
        <v>45398</v>
      </c>
      <c r="K33" t="n">
        <v>71255</v>
      </c>
      <c r="L33" s="5" t="n">
        <v>46300</v>
      </c>
      <c r="M33" s="5" t="n"/>
      <c r="N33">
        <f>IF(H33="maintenance","Maintenance",IF(COUNTIFS(Locations!B:B,B33,Locations!E:E,"&lt;="&amp;TODAY(),Locations!F:F,"&gt;"&amp;TODAY())&gt;0,"Louée","Disponible"))</f>
        <v/>
      </c>
    </row>
    <row r="34">
      <c r="A34" t="inlineStr">
        <is>
          <t>4X4-01</t>
        </is>
      </c>
      <c r="B34" t="inlineStr">
        <is>
          <t>96667-D-1</t>
        </is>
      </c>
      <c r="C34" t="inlineStr">
        <is>
          <t>Toyota Hilux</t>
        </is>
      </c>
      <c r="D34" t="inlineStr">
        <is>
          <t>4x4</t>
        </is>
      </c>
      <c r="E34" t="inlineStr">
        <is>
          <t>manuelle</t>
        </is>
      </c>
      <c r="F34" t="inlineStr">
        <is>
          <t>Hay Riad</t>
        </is>
      </c>
      <c r="G34" s="4" t="n">
        <v>800</v>
      </c>
      <c r="H34" t="inlineStr">
        <is>
          <t>active</t>
        </is>
      </c>
      <c r="I34" s="5" t="n"/>
      <c r="J34" s="5" t="n">
        <v>45042</v>
      </c>
      <c r="K34" t="n">
        <v>107194</v>
      </c>
      <c r="L34" s="5" t="n">
        <v>46301</v>
      </c>
      <c r="M34" s="5" t="n"/>
      <c r="N34">
        <f>IF(H34="maintenance","Maintenance",IF(COUNTIFS(Locations!B:B,B34,Locations!E:E,"&lt;="&amp;TODAY(),Locations!F:F,"&gt;"&amp;TODAY())&gt;0,"Louée","Disponible"))</f>
        <v/>
      </c>
    </row>
    <row r="35">
      <c r="A35" t="inlineStr">
        <is>
          <t>4X4-02</t>
        </is>
      </c>
      <c r="B35" t="inlineStr">
        <is>
          <t>49965-H-1</t>
        </is>
      </c>
      <c r="C35" t="inlineStr">
        <is>
          <t>Ford Ranger</t>
        </is>
      </c>
      <c r="D35" t="inlineStr">
        <is>
          <t>4x4</t>
        </is>
      </c>
      <c r="E35" t="inlineStr">
        <is>
          <t>automatique</t>
        </is>
      </c>
      <c r="F35" t="inlineStr">
        <is>
          <t>Aéroport Rabat-Salé</t>
        </is>
      </c>
      <c r="G35" s="4" t="n">
        <v>900</v>
      </c>
      <c r="H35" t="inlineStr">
        <is>
          <t>active</t>
        </is>
      </c>
      <c r="I35" s="5" t="n"/>
      <c r="J35" s="5" t="n">
        <v>44021</v>
      </c>
      <c r="K35" t="n">
        <v>158574</v>
      </c>
      <c r="L35" s="5" t="n">
        <v>46354</v>
      </c>
      <c r="M35" s="5" t="n">
        <v>46339</v>
      </c>
      <c r="N35">
        <f>IF(H35="maintenance","Maintenance",IF(COUNTIFS(Locations!B:B,B35,Locations!E:E,"&lt;="&amp;TODAY(),Locations!F:F,"&gt;"&amp;TODAY())&gt;0,"Louée","Disponible"))</f>
        <v/>
      </c>
    </row>
    <row r="36">
      <c r="A36" t="inlineStr">
        <is>
          <t>UTL-01</t>
        </is>
      </c>
      <c r="B36" t="inlineStr">
        <is>
          <t>71302-W-1</t>
        </is>
      </c>
      <c r="C36" t="inlineStr">
        <is>
          <t>Renault Kangoo</t>
        </is>
      </c>
      <c r="D36" t="inlineStr">
        <is>
          <t>utilitaire</t>
        </is>
      </c>
      <c r="E36" t="inlineStr">
        <is>
          <t>manuelle</t>
        </is>
      </c>
      <c r="F36" t="inlineStr">
        <is>
          <t>Hay Riad</t>
        </is>
      </c>
      <c r="G36" s="4" t="n">
        <v>350</v>
      </c>
      <c r="H36" t="inlineStr">
        <is>
          <t>active</t>
        </is>
      </c>
      <c r="I36" s="5" t="n"/>
      <c r="J36" s="5" t="n">
        <v>43988</v>
      </c>
      <c r="K36" t="n">
        <v>147835</v>
      </c>
      <c r="L36" s="5" t="n">
        <v>46351</v>
      </c>
      <c r="M36" s="5" t="n">
        <v>46366</v>
      </c>
      <c r="N36">
        <f>IF(H36="maintenance","Maintenance",IF(COUNTIFS(Locations!B:B,B36,Locations!E:E,"&lt;="&amp;TODAY(),Locations!F:F,"&gt;"&amp;TODAY())&gt;0,"Louée","Disponible"))</f>
        <v/>
      </c>
    </row>
    <row r="37">
      <c r="A37" t="inlineStr">
        <is>
          <t>UTL-02</t>
        </is>
      </c>
      <c r="B37" t="inlineStr">
        <is>
          <t>22394-A-1</t>
        </is>
      </c>
      <c r="C37" t="inlineStr">
        <is>
          <t>Fiat Doblo</t>
        </is>
      </c>
      <c r="D37" t="inlineStr">
        <is>
          <t>utilitaire</t>
        </is>
      </c>
      <c r="E37" t="inlineStr">
        <is>
          <t>manuelle</t>
        </is>
      </c>
      <c r="F37" t="inlineStr">
        <is>
          <t>Agdal</t>
        </is>
      </c>
      <c r="G37" s="4" t="n">
        <v>320</v>
      </c>
      <c r="H37" t="inlineStr">
        <is>
          <t>active</t>
        </is>
      </c>
      <c r="I37" s="5" t="n"/>
      <c r="J37" s="5" t="n">
        <v>43999</v>
      </c>
      <c r="K37" t="n">
        <v>164658</v>
      </c>
      <c r="L37" s="5" t="n">
        <v>46298</v>
      </c>
      <c r="M37" s="5" t="n">
        <v>46383</v>
      </c>
      <c r="N37">
        <f>IF(H37="maintenance","Maintenance",IF(COUNTIFS(Locations!B:B,B37,Locations!E:E,"&lt;="&amp;TODAY(),Locations!F:F,"&gt;"&amp;TODAY())&gt;0,"Louée","Disponible"))</f>
        <v/>
      </c>
    </row>
    <row r="38">
      <c r="A38" t="inlineStr">
        <is>
          <t>UTL-03</t>
        </is>
      </c>
      <c r="B38" t="inlineStr">
        <is>
          <t>81442-B-1</t>
        </is>
      </c>
      <c r="C38" t="inlineStr">
        <is>
          <t>Renault Express</t>
        </is>
      </c>
      <c r="D38" t="inlineStr">
        <is>
          <t>utilitaire</t>
        </is>
      </c>
      <c r="E38" t="inlineStr">
        <is>
          <t>manuelle</t>
        </is>
      </c>
      <c r="F38" t="inlineStr">
        <is>
          <t>Aéroport Rabat-Salé</t>
        </is>
      </c>
      <c r="G38" s="4" t="n">
        <v>380</v>
      </c>
      <c r="H38" t="inlineStr">
        <is>
          <t>active</t>
        </is>
      </c>
      <c r="I38" s="5" t="n"/>
      <c r="J38" s="5" t="n">
        <v>43922</v>
      </c>
      <c r="K38" t="n">
        <v>209280</v>
      </c>
      <c r="L38" s="5" t="n">
        <v>46347</v>
      </c>
      <c r="M38" s="5" t="n">
        <v>46370</v>
      </c>
      <c r="N38">
        <f>IF(H38="maintenance","Maintenance",IF(COUNTIFS(Locations!B:B,B38,Locations!E:E,"&lt;="&amp;TODAY(),Locations!F:F,"&gt;"&amp;TODAY())&gt;0,"Louée","Disponible"))</f>
        <v/>
      </c>
    </row>
    <row r="39">
      <c r="A39" t="inlineStr">
        <is>
          <t>UTL-04</t>
        </is>
      </c>
      <c r="B39" t="inlineStr">
        <is>
          <t>83662-D-1</t>
        </is>
      </c>
      <c r="C39" t="inlineStr">
        <is>
          <t>Citroën Berlingo</t>
        </is>
      </c>
      <c r="D39" t="inlineStr">
        <is>
          <t>utilitaire</t>
        </is>
      </c>
      <c r="E39" t="inlineStr">
        <is>
          <t>manuelle</t>
        </is>
      </c>
      <c r="F39" t="inlineStr">
        <is>
          <t>Agdal</t>
        </is>
      </c>
      <c r="G39" s="4" t="n">
        <v>360</v>
      </c>
      <c r="H39" t="inlineStr">
        <is>
          <t>active</t>
        </is>
      </c>
      <c r="I39" s="5" t="n"/>
      <c r="J39" s="5" t="n">
        <v>45352</v>
      </c>
      <c r="K39" t="n">
        <v>63144</v>
      </c>
      <c r="L39" s="5" t="n">
        <v>46307</v>
      </c>
      <c r="M39" s="5" t="n"/>
      <c r="N39">
        <f>IF(H39="maintenance","Maintenance",IF(COUNTIFS(Locations!B:B,B39,Locations!E:E,"&lt;="&amp;TODAY(),Locations!F:F,"&gt;"&amp;TODAY())&gt;0,"Louée","Disponible"))</f>
        <v/>
      </c>
    </row>
  </sheetData>
  <conditionalFormatting sqref="N2:N39">
    <cfRule type="cellIs" priority="1" operator="equal" dxfId="2">
      <formula>"Disponible"</formula>
    </cfRule>
    <cfRule type="cellIs" priority="2" operator="equal" dxfId="0">
      <formula>"Louée"</formula>
    </cfRule>
    <cfRule type="cellIs" priority="3" operator="equal" dxfId="3">
      <formula>"Maintenance"</formula>
    </cfRule>
  </conditionalFormatting>
  <conditionalFormatting sqref="L2:M39">
    <cfRule type="expression" priority="4" dxfId="3">
      <formula>AND(L2&lt;&gt;"",L2-TODAY()&lt;30)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34" customWidth="1" min="5" max="5"/>
    <col width="14" customWidth="1" min="6" max="6"/>
  </cols>
  <sheetData>
    <row r="1" ht="22" customHeight="1">
      <c r="A1" s="2" t="inlineStr">
        <is>
          <t>CIN</t>
        </is>
      </c>
      <c r="B1" s="2" t="inlineStr">
        <is>
          <t>NOM</t>
        </is>
      </c>
      <c r="C1" s="2" t="inlineStr">
        <is>
          <t>TELEPHONE</t>
        </is>
      </c>
      <c r="D1" s="2" t="inlineStr">
        <is>
          <t>VIP</t>
        </is>
      </c>
      <c r="E1" s="2" t="inlineStr">
        <is>
          <t>NOTES</t>
        </is>
      </c>
      <c r="F1" s="2" t="inlineStr">
        <is>
          <t>CODE</t>
        </is>
      </c>
    </row>
    <row r="2">
      <c r="A2" t="inlineStr">
        <is>
          <t>DA850793</t>
        </is>
      </c>
      <c r="B2" t="inlineStr">
        <is>
          <t>Hind El Fassi</t>
        </is>
      </c>
      <c r="C2" t="inlineStr">
        <is>
          <t>07 81 82 37 82</t>
        </is>
      </c>
      <c r="D2" t="inlineStr">
        <is>
          <t>oui</t>
        </is>
      </c>
      <c r="E2" t="inlineStr">
        <is>
          <t>Client entreprise (facture)</t>
        </is>
      </c>
      <c r="F2" t="inlineStr">
        <is>
          <t>C-001</t>
        </is>
      </c>
    </row>
    <row r="3">
      <c r="A3" t="inlineStr">
        <is>
          <t>AE201114</t>
        </is>
      </c>
      <c r="B3" t="inlineStr">
        <is>
          <t>Khadija El Fassi</t>
        </is>
      </c>
      <c r="C3" t="inlineStr">
        <is>
          <t>07 31 23 97 17</t>
        </is>
      </c>
      <c r="D3" t="inlineStr">
        <is>
          <t>oui</t>
        </is>
      </c>
      <c r="E3" t="inlineStr">
        <is>
          <t>Préfère WhatsApp</t>
        </is>
      </c>
      <c r="F3" t="inlineStr">
        <is>
          <t>C-002</t>
        </is>
      </c>
    </row>
    <row r="4">
      <c r="A4" t="inlineStr">
        <is>
          <t>G5643699</t>
        </is>
      </c>
      <c r="B4" t="inlineStr">
        <is>
          <t>Reda Bouzidi</t>
        </is>
      </c>
      <c r="C4" t="inlineStr">
        <is>
          <t>06 47 50 30 43</t>
        </is>
      </c>
      <c r="D4" t="inlineStr">
        <is>
          <t>oui</t>
        </is>
      </c>
      <c r="E4" t="inlineStr">
        <is>
          <t>Client entreprise (facture)</t>
        </is>
      </c>
      <c r="F4" t="inlineStr">
        <is>
          <t>C-003</t>
        </is>
      </c>
    </row>
    <row r="5">
      <c r="A5" t="inlineStr">
        <is>
          <t>DE1258872</t>
        </is>
      </c>
      <c r="B5" t="inlineStr">
        <is>
          <t>Fatou Rossi</t>
        </is>
      </c>
      <c r="C5" t="inlineStr">
        <is>
          <t>06 22 40 12 49</t>
        </is>
      </c>
      <c r="D5" t="inlineStr">
        <is>
          <t>non</t>
        </is>
      </c>
      <c r="E5" t="inlineStr"/>
      <c r="F5" t="inlineStr">
        <is>
          <t>C-004</t>
        </is>
      </c>
    </row>
    <row r="6">
      <c r="A6" t="inlineStr">
        <is>
          <t>IT1637716</t>
        </is>
      </c>
      <c r="B6" t="inlineStr">
        <is>
          <t>Ingrid Svensson</t>
        </is>
      </c>
      <c r="C6" t="inlineStr">
        <is>
          <t>07 50 87 37 86</t>
        </is>
      </c>
      <c r="D6" t="inlineStr">
        <is>
          <t>non</t>
        </is>
      </c>
      <c r="E6" t="inlineStr">
        <is>
          <t>Paiement à la remise des clés</t>
        </is>
      </c>
      <c r="F6" t="inlineStr">
        <is>
          <t>C-005</t>
        </is>
      </c>
    </row>
    <row r="7">
      <c r="A7" t="inlineStr">
        <is>
          <t>G9409777</t>
        </is>
      </c>
      <c r="B7" t="inlineStr">
        <is>
          <t>Nadia Bouazza</t>
        </is>
      </c>
      <c r="C7" t="inlineStr">
        <is>
          <t>07 59 47 55 17</t>
        </is>
      </c>
      <c r="D7" t="inlineStr">
        <is>
          <t>oui</t>
        </is>
      </c>
      <c r="E7" t="inlineStr">
        <is>
          <t>Demande souvent l'aéroport</t>
        </is>
      </c>
      <c r="F7" t="inlineStr">
        <is>
          <t>C-006</t>
        </is>
      </c>
    </row>
    <row r="8">
      <c r="A8" t="inlineStr">
        <is>
          <t>AA411366</t>
        </is>
      </c>
      <c r="B8" t="inlineStr">
        <is>
          <t>Oussama Sqalli</t>
        </is>
      </c>
      <c r="C8" t="inlineStr">
        <is>
          <t>07 50 84 12 79</t>
        </is>
      </c>
      <c r="D8" t="inlineStr">
        <is>
          <t>oui</t>
        </is>
      </c>
      <c r="E8" t="inlineStr">
        <is>
          <t>Préfère WhatsApp</t>
        </is>
      </c>
      <c r="F8" t="inlineStr">
        <is>
          <t>C-007</t>
        </is>
      </c>
    </row>
    <row r="9">
      <c r="A9" t="inlineStr">
        <is>
          <t>DA228644</t>
        </is>
      </c>
      <c r="B9" t="inlineStr">
        <is>
          <t>Anas Berrada</t>
        </is>
      </c>
      <c r="C9" t="inlineStr">
        <is>
          <t>06 14 26 76 55</t>
        </is>
      </c>
      <c r="D9" t="inlineStr">
        <is>
          <t>oui</t>
        </is>
      </c>
      <c r="E9" t="inlineStr">
        <is>
          <t>Client entreprise (facture)</t>
        </is>
      </c>
      <c r="F9" t="inlineStr">
        <is>
          <t>C-008</t>
        </is>
      </c>
    </row>
    <row r="10">
      <c r="A10" t="inlineStr">
        <is>
          <t>DE7444227</t>
        </is>
      </c>
      <c r="B10" t="inlineStr">
        <is>
          <t>Luca Svensson</t>
        </is>
      </c>
      <c r="C10" t="inlineStr">
        <is>
          <t>07 40 63 94 38</t>
        </is>
      </c>
      <c r="D10" t="inlineStr">
        <is>
          <t>non</t>
        </is>
      </c>
      <c r="E10" t="inlineStr"/>
      <c r="F10" t="inlineStr">
        <is>
          <t>C-009</t>
        </is>
      </c>
    </row>
    <row r="11">
      <c r="A11" t="inlineStr">
        <is>
          <t>CD516136</t>
        </is>
      </c>
      <c r="B11" t="inlineStr">
        <is>
          <t>Ismail Bouazza</t>
        </is>
      </c>
      <c r="C11" t="inlineStr">
        <is>
          <t>07 28 39 12 12</t>
        </is>
      </c>
      <c r="D11" t="inlineStr">
        <is>
          <t>oui</t>
        </is>
      </c>
      <c r="E11" t="inlineStr">
        <is>
          <t>Client entreprise (facture)</t>
        </is>
      </c>
      <c r="F11" t="inlineStr">
        <is>
          <t>C-010</t>
        </is>
      </c>
    </row>
    <row r="12">
      <c r="A12" t="inlineStr">
        <is>
          <t>EE722487</t>
        </is>
      </c>
      <c r="B12" t="inlineStr">
        <is>
          <t>Mounir Idrissi</t>
        </is>
      </c>
      <c r="C12" t="inlineStr">
        <is>
          <t>06 32 80 14 93</t>
        </is>
      </c>
      <c r="D12" t="inlineStr">
        <is>
          <t>oui</t>
        </is>
      </c>
      <c r="E12" t="inlineStr">
        <is>
          <t>Client régulier</t>
        </is>
      </c>
      <c r="F12" t="inlineStr">
        <is>
          <t>C-011</t>
        </is>
      </c>
    </row>
    <row r="13">
      <c r="A13" t="inlineStr">
        <is>
          <t>G1943814</t>
        </is>
      </c>
      <c r="B13" t="inlineStr">
        <is>
          <t>Badr El Harrak</t>
        </is>
      </c>
      <c r="C13" t="inlineStr">
        <is>
          <t>06 90 41 70 17</t>
        </is>
      </c>
      <c r="D13" t="inlineStr">
        <is>
          <t>oui</t>
        </is>
      </c>
      <c r="E13" t="inlineStr"/>
      <c r="F13" t="inlineStr">
        <is>
          <t>C-012</t>
        </is>
      </c>
    </row>
    <row r="14">
      <c r="A14" t="inlineStr">
        <is>
          <t>BK841625</t>
        </is>
      </c>
      <c r="B14" t="inlineStr">
        <is>
          <t>Ines El Idrissi</t>
        </is>
      </c>
      <c r="C14" t="inlineStr">
        <is>
          <t>07 39 81 45 53</t>
        </is>
      </c>
      <c r="D14" t="inlineStr">
        <is>
          <t>non</t>
        </is>
      </c>
      <c r="E14" t="inlineStr"/>
      <c r="F14" t="inlineStr">
        <is>
          <t>C-013</t>
        </is>
      </c>
    </row>
    <row r="15">
      <c r="A15" t="inlineStr">
        <is>
          <t>BE926937</t>
        </is>
      </c>
      <c r="B15" t="inlineStr">
        <is>
          <t>Jamal El Amrani</t>
        </is>
      </c>
      <c r="C15" t="inlineStr">
        <is>
          <t>07 34 30 90 62</t>
        </is>
      </c>
      <c r="D15" t="inlineStr">
        <is>
          <t>non</t>
        </is>
      </c>
      <c r="E15" t="inlineStr"/>
      <c r="F15" t="inlineStr">
        <is>
          <t>C-014</t>
        </is>
      </c>
    </row>
    <row r="16">
      <c r="A16" t="inlineStr">
        <is>
          <t>CD836465</t>
        </is>
      </c>
      <c r="B16" t="inlineStr">
        <is>
          <t>Soufiane Kadiri</t>
        </is>
      </c>
      <c r="C16" t="inlineStr">
        <is>
          <t>07 14 91 32 20</t>
        </is>
      </c>
      <c r="D16" t="inlineStr">
        <is>
          <t>non</t>
        </is>
      </c>
      <c r="E16" t="inlineStr">
        <is>
          <t>Client entreprise (facture)</t>
        </is>
      </c>
      <c r="F16" t="inlineStr">
        <is>
          <t>C-015</t>
        </is>
      </c>
    </row>
    <row r="17">
      <c r="A17" t="inlineStr">
        <is>
          <t>AA119243</t>
        </is>
      </c>
      <c r="B17" t="inlineStr">
        <is>
          <t>Khadija Tahiri</t>
        </is>
      </c>
      <c r="C17" t="inlineStr">
        <is>
          <t>06 99 84 49 83</t>
        </is>
      </c>
      <c r="D17" t="inlineStr">
        <is>
          <t>non</t>
        </is>
      </c>
      <c r="E17" t="inlineStr"/>
      <c r="F17" t="inlineStr">
        <is>
          <t>C-016</t>
        </is>
      </c>
    </row>
    <row r="18">
      <c r="A18" t="inlineStr">
        <is>
          <t>EE793915</t>
        </is>
      </c>
      <c r="B18" t="inlineStr">
        <is>
          <t>Badr Moussaoui</t>
        </is>
      </c>
      <c r="C18" t="inlineStr">
        <is>
          <t>06 75 23 20 28</t>
        </is>
      </c>
      <c r="D18" t="inlineStr">
        <is>
          <t>non</t>
        </is>
      </c>
      <c r="E18" t="inlineStr">
        <is>
          <t>Demande souvent l'aéroport</t>
        </is>
      </c>
      <c r="F18" t="inlineStr">
        <is>
          <t>C-017</t>
        </is>
      </c>
    </row>
    <row r="19">
      <c r="A19" t="inlineStr">
        <is>
          <t>DA794435</t>
        </is>
      </c>
      <c r="B19" t="inlineStr">
        <is>
          <t>Omar Benchekroun</t>
        </is>
      </c>
      <c r="C19" t="inlineStr">
        <is>
          <t>06 30 47 47 79</t>
        </is>
      </c>
      <c r="D19" t="inlineStr">
        <is>
          <t>non</t>
        </is>
      </c>
      <c r="E19" t="inlineStr">
        <is>
          <t>Client entreprise (facture)</t>
        </is>
      </c>
      <c r="F19" t="inlineStr">
        <is>
          <t>C-018</t>
        </is>
      </c>
    </row>
    <row r="20">
      <c r="A20" t="inlineStr">
        <is>
          <t>EE109907</t>
        </is>
      </c>
      <c r="B20" t="inlineStr">
        <is>
          <t>Hind Benchekroun</t>
        </is>
      </c>
      <c r="C20" t="inlineStr">
        <is>
          <t>07 64 55 78 31</t>
        </is>
      </c>
      <c r="D20" t="inlineStr">
        <is>
          <t>non</t>
        </is>
      </c>
      <c r="E20" t="inlineStr"/>
      <c r="F20" t="inlineStr">
        <is>
          <t>C-019</t>
        </is>
      </c>
    </row>
    <row r="21">
      <c r="A21" t="inlineStr">
        <is>
          <t>YA1476776</t>
        </is>
      </c>
      <c r="B21" t="inlineStr">
        <is>
          <t>Paolo García</t>
        </is>
      </c>
      <c r="C21" t="inlineStr">
        <is>
          <t>06 75 95 92 10</t>
        </is>
      </c>
      <c r="D21" t="inlineStr">
        <is>
          <t>non</t>
        </is>
      </c>
      <c r="E21" t="inlineStr">
        <is>
          <t>Préfère WhatsApp</t>
        </is>
      </c>
      <c r="F21" t="inlineStr">
        <is>
          <t>C-020</t>
        </is>
      </c>
    </row>
    <row r="22">
      <c r="A22" t="inlineStr">
        <is>
          <t>YA5163351</t>
        </is>
      </c>
      <c r="B22" t="inlineStr">
        <is>
          <t>Marie Schmidt</t>
        </is>
      </c>
      <c r="C22" t="inlineStr">
        <is>
          <t>06 23 51 72 23</t>
        </is>
      </c>
      <c r="D22" t="inlineStr">
        <is>
          <t>non</t>
        </is>
      </c>
      <c r="E22" t="inlineStr"/>
      <c r="F22" t="inlineStr">
        <is>
          <t>C-021</t>
        </is>
      </c>
    </row>
    <row r="23">
      <c r="A23" t="inlineStr">
        <is>
          <t>G8958792</t>
        </is>
      </c>
      <c r="B23" t="inlineStr">
        <is>
          <t>Wiam El Fassi</t>
        </is>
      </c>
      <c r="C23" t="inlineStr">
        <is>
          <t>07 25 81 76 41</t>
        </is>
      </c>
      <c r="D23" t="inlineStr">
        <is>
          <t>non</t>
        </is>
      </c>
      <c r="E23" t="inlineStr">
        <is>
          <t>Préfère WhatsApp</t>
        </is>
      </c>
      <c r="F23" t="inlineStr">
        <is>
          <t>C-022</t>
        </is>
      </c>
    </row>
    <row r="24">
      <c r="A24" t="inlineStr">
        <is>
          <t>AA916889</t>
        </is>
      </c>
      <c r="B24" t="inlineStr">
        <is>
          <t>Soufiane Tazi</t>
        </is>
      </c>
      <c r="C24" t="inlineStr">
        <is>
          <t>06 73 49 43 94</t>
        </is>
      </c>
      <c r="D24" t="inlineStr">
        <is>
          <t>non</t>
        </is>
      </c>
      <c r="E24" t="inlineStr"/>
      <c r="F24" t="inlineStr">
        <is>
          <t>C-023</t>
        </is>
      </c>
    </row>
    <row r="25">
      <c r="A25" t="inlineStr">
        <is>
          <t>G9274426</t>
        </is>
      </c>
      <c r="B25" t="inlineStr">
        <is>
          <t>Anass Ouazzani</t>
        </is>
      </c>
      <c r="C25" t="inlineStr">
        <is>
          <t>07 50 32 35 69</t>
        </is>
      </c>
      <c r="D25" t="inlineStr">
        <is>
          <t>non</t>
        </is>
      </c>
      <c r="E25" t="inlineStr"/>
      <c r="F25" t="inlineStr">
        <is>
          <t>C-024</t>
        </is>
      </c>
    </row>
    <row r="26">
      <c r="A26" t="inlineStr">
        <is>
          <t>G7873623</t>
        </is>
      </c>
      <c r="B26" t="inlineStr">
        <is>
          <t>Samira Moussaoui</t>
        </is>
      </c>
      <c r="C26" t="inlineStr">
        <is>
          <t>07 37 29 66 82</t>
        </is>
      </c>
      <c r="D26" t="inlineStr">
        <is>
          <t>non</t>
        </is>
      </c>
      <c r="E26" t="inlineStr"/>
      <c r="F26" t="inlineStr">
        <is>
          <t>C-025</t>
        </is>
      </c>
    </row>
    <row r="27">
      <c r="A27" t="inlineStr">
        <is>
          <t>AE982041</t>
        </is>
      </c>
      <c r="B27" t="inlineStr">
        <is>
          <t>Anas Ouazzani</t>
        </is>
      </c>
      <c r="C27" t="inlineStr">
        <is>
          <t>07 43 28 79 90</t>
        </is>
      </c>
      <c r="D27" t="inlineStr">
        <is>
          <t>non</t>
        </is>
      </c>
      <c r="E27" t="inlineStr">
        <is>
          <t>Client entreprise (facture)</t>
        </is>
      </c>
      <c r="F27" t="inlineStr">
        <is>
          <t>C-026</t>
        </is>
      </c>
    </row>
    <row r="28">
      <c r="A28" t="inlineStr">
        <is>
          <t>AA380924</t>
        </is>
      </c>
      <c r="B28" t="inlineStr">
        <is>
          <t>Karima El Harrak</t>
        </is>
      </c>
      <c r="C28" t="inlineStr">
        <is>
          <t>07 83 68 91 61</t>
        </is>
      </c>
      <c r="D28" t="inlineStr">
        <is>
          <t>non</t>
        </is>
      </c>
      <c r="E28" t="inlineStr">
        <is>
          <t>Demande souvent l'aéroport</t>
        </is>
      </c>
      <c r="F28" t="inlineStr">
        <is>
          <t>C-027</t>
        </is>
      </c>
    </row>
    <row r="29">
      <c r="A29" t="inlineStr">
        <is>
          <t>GB2593937</t>
        </is>
      </c>
      <c r="B29" t="inlineStr">
        <is>
          <t>Paolo Diallo</t>
        </is>
      </c>
      <c r="C29" t="inlineStr">
        <is>
          <t>07 96 91 95 79</t>
        </is>
      </c>
      <c r="D29" t="inlineStr">
        <is>
          <t>non</t>
        </is>
      </c>
      <c r="E29" t="inlineStr"/>
      <c r="F29" t="inlineStr">
        <is>
          <t>C-028</t>
        </is>
      </c>
    </row>
    <row r="30">
      <c r="A30" t="inlineStr">
        <is>
          <t>BK859626</t>
        </is>
      </c>
      <c r="B30" t="inlineStr">
        <is>
          <t>Oussama Bennani</t>
        </is>
      </c>
      <c r="C30" t="inlineStr">
        <is>
          <t>06 11 44 81 99</t>
        </is>
      </c>
      <c r="D30" t="inlineStr">
        <is>
          <t>non</t>
        </is>
      </c>
      <c r="E30" t="inlineStr">
        <is>
          <t>Client entreprise (facture)</t>
        </is>
      </c>
      <c r="F30" t="inlineStr">
        <is>
          <t>C-029</t>
        </is>
      </c>
    </row>
    <row r="31">
      <c r="A31" t="inlineStr">
        <is>
          <t>BE992685</t>
        </is>
      </c>
      <c r="B31" t="inlineStr">
        <is>
          <t>Chaimae Naciri</t>
        </is>
      </c>
      <c r="C31" t="inlineStr">
        <is>
          <t>07 53 11 14 38</t>
        </is>
      </c>
      <c r="D31" t="inlineStr">
        <is>
          <t>non</t>
        </is>
      </c>
      <c r="E31" t="inlineStr"/>
      <c r="F31" t="inlineStr">
        <is>
          <t>C-030</t>
        </is>
      </c>
    </row>
    <row r="32">
      <c r="A32" t="inlineStr">
        <is>
          <t>AD929155</t>
        </is>
      </c>
      <c r="B32" t="inlineStr">
        <is>
          <t>Kenza Alaoui</t>
        </is>
      </c>
      <c r="C32" t="inlineStr">
        <is>
          <t>07 75 45 89 90</t>
        </is>
      </c>
      <c r="D32" t="inlineStr">
        <is>
          <t>non</t>
        </is>
      </c>
      <c r="E32" t="inlineStr">
        <is>
          <t>Préfère WhatsApp</t>
        </is>
      </c>
      <c r="F32" t="inlineStr">
        <is>
          <t>C-031</t>
        </is>
      </c>
    </row>
    <row r="33">
      <c r="A33" t="inlineStr">
        <is>
          <t>AB3614343</t>
        </is>
      </c>
      <c r="B33" t="inlineStr">
        <is>
          <t>Carlos Dupont</t>
        </is>
      </c>
      <c r="C33" t="inlineStr">
        <is>
          <t>07 38 69 36 87</t>
        </is>
      </c>
      <c r="D33" t="inlineStr">
        <is>
          <t>non</t>
        </is>
      </c>
      <c r="E33" t="inlineStr"/>
      <c r="F33" t="inlineStr">
        <is>
          <t>C-032</t>
        </is>
      </c>
    </row>
    <row r="34">
      <c r="A34" t="inlineStr">
        <is>
          <t>CD814227</t>
        </is>
      </c>
      <c r="B34" t="inlineStr">
        <is>
          <t>Abdel Tahiri</t>
        </is>
      </c>
      <c r="C34" t="inlineStr">
        <is>
          <t>06 23 13 44 63</t>
        </is>
      </c>
      <c r="D34" t="inlineStr">
        <is>
          <t>non</t>
        </is>
      </c>
      <c r="E34" t="inlineStr"/>
      <c r="F34" t="inlineStr">
        <is>
          <t>C-033</t>
        </is>
      </c>
    </row>
    <row r="35">
      <c r="A35" t="inlineStr">
        <is>
          <t>BE789842</t>
        </is>
      </c>
      <c r="B35" t="inlineStr">
        <is>
          <t>Meryem Regragui</t>
        </is>
      </c>
      <c r="C35" t="inlineStr">
        <is>
          <t>07 53 54 50 87</t>
        </is>
      </c>
      <c r="D35" t="inlineStr">
        <is>
          <t>non</t>
        </is>
      </c>
      <c r="E35" t="inlineStr">
        <is>
          <t>Paiement à la remise des clés</t>
        </is>
      </c>
      <c r="F35" t="inlineStr">
        <is>
          <t>C-034</t>
        </is>
      </c>
    </row>
    <row r="36">
      <c r="A36" t="inlineStr">
        <is>
          <t>EE613807</t>
        </is>
      </c>
      <c r="B36" t="inlineStr">
        <is>
          <t>Souad Bennani</t>
        </is>
      </c>
      <c r="C36" t="inlineStr">
        <is>
          <t>06 12 71 56 42</t>
        </is>
      </c>
      <c r="D36" t="inlineStr">
        <is>
          <t>non</t>
        </is>
      </c>
      <c r="E36" t="inlineStr">
        <is>
          <t>Paiement à la remise des clés</t>
        </is>
      </c>
      <c r="F36" t="inlineStr">
        <is>
          <t>C-035</t>
        </is>
      </c>
    </row>
    <row r="37">
      <c r="A37" t="inlineStr">
        <is>
          <t>AD710001</t>
        </is>
      </c>
      <c r="B37" t="inlineStr">
        <is>
          <t>Rachid Sqalli</t>
        </is>
      </c>
      <c r="C37" t="inlineStr">
        <is>
          <t>06 62 18 92 94</t>
        </is>
      </c>
      <c r="D37" t="inlineStr">
        <is>
          <t>non</t>
        </is>
      </c>
      <c r="E37" t="inlineStr"/>
      <c r="F37" t="inlineStr">
        <is>
          <t>C-036</t>
        </is>
      </c>
    </row>
    <row r="38">
      <c r="A38" t="inlineStr">
        <is>
          <t>DA195125</t>
        </is>
      </c>
      <c r="B38" t="inlineStr">
        <is>
          <t>Zineb Rami</t>
        </is>
      </c>
      <c r="C38" t="inlineStr">
        <is>
          <t>07 72 50 94 53</t>
        </is>
      </c>
      <c r="D38" t="inlineStr">
        <is>
          <t>non</t>
        </is>
      </c>
      <c r="E38" t="inlineStr">
        <is>
          <t>Préfère WhatsApp</t>
        </is>
      </c>
      <c r="F38" t="inlineStr">
        <is>
          <t>C-037</t>
        </is>
      </c>
    </row>
    <row r="39">
      <c r="A39" t="inlineStr">
        <is>
          <t>AE653640</t>
        </is>
      </c>
      <c r="B39" t="inlineStr">
        <is>
          <t>Hanane Berrada</t>
        </is>
      </c>
      <c r="C39" t="inlineStr">
        <is>
          <t>07 90 23 87 37</t>
        </is>
      </c>
      <c r="D39" t="inlineStr">
        <is>
          <t>non</t>
        </is>
      </c>
      <c r="E39" t="inlineStr"/>
      <c r="F39" t="inlineStr">
        <is>
          <t>C-038</t>
        </is>
      </c>
    </row>
    <row r="40">
      <c r="A40" t="inlineStr">
        <is>
          <t>CD232629</t>
        </is>
      </c>
      <c r="B40" t="inlineStr">
        <is>
          <t>Taha Sefrioui</t>
        </is>
      </c>
      <c r="C40" t="inlineStr">
        <is>
          <t>06 44 72 27 81</t>
        </is>
      </c>
      <c r="D40" t="inlineStr">
        <is>
          <t>non</t>
        </is>
      </c>
      <c r="E40" t="inlineStr">
        <is>
          <t>Préfère WhatsApp</t>
        </is>
      </c>
      <c r="F40" t="inlineStr">
        <is>
          <t>C-039</t>
        </is>
      </c>
    </row>
    <row r="41">
      <c r="A41" t="inlineStr">
        <is>
          <t>CD298236</t>
        </is>
      </c>
      <c r="B41" t="inlineStr">
        <is>
          <t>Karima Mansouri</t>
        </is>
      </c>
      <c r="C41" t="inlineStr">
        <is>
          <t>06 87 80 29 28</t>
        </is>
      </c>
      <c r="D41" t="inlineStr">
        <is>
          <t>non</t>
        </is>
      </c>
      <c r="E41" t="inlineStr"/>
      <c r="F41" t="inlineStr">
        <is>
          <t>C-040</t>
        </is>
      </c>
    </row>
    <row r="42">
      <c r="A42" t="inlineStr">
        <is>
          <t>EE136200</t>
        </is>
      </c>
      <c r="B42" t="inlineStr">
        <is>
          <t>Siham Bennani</t>
        </is>
      </c>
      <c r="C42" t="inlineStr">
        <is>
          <t>07 48 32 27 44</t>
        </is>
      </c>
      <c r="D42" t="inlineStr">
        <is>
          <t>non</t>
        </is>
      </c>
      <c r="E42" t="inlineStr"/>
      <c r="F42" t="inlineStr">
        <is>
          <t>C-041</t>
        </is>
      </c>
    </row>
    <row r="43">
      <c r="A43" t="inlineStr">
        <is>
          <t>A4114424</t>
        </is>
      </c>
      <c r="B43" t="inlineStr">
        <is>
          <t>Tarik Berrada</t>
        </is>
      </c>
      <c r="C43" t="inlineStr">
        <is>
          <t>06 62 92 89 72</t>
        </is>
      </c>
      <c r="D43" t="inlineStr">
        <is>
          <t>non</t>
        </is>
      </c>
      <c r="E43" t="inlineStr"/>
      <c r="F43" t="inlineStr">
        <is>
          <t>C-042</t>
        </is>
      </c>
    </row>
    <row r="44">
      <c r="A44" t="inlineStr">
        <is>
          <t>CD196457</t>
        </is>
      </c>
      <c r="B44" t="inlineStr">
        <is>
          <t>Taha Kettani</t>
        </is>
      </c>
      <c r="C44" t="inlineStr">
        <is>
          <t>07 97 62 29 51</t>
        </is>
      </c>
      <c r="D44" t="inlineStr">
        <is>
          <t>non</t>
        </is>
      </c>
      <c r="E44" t="inlineStr"/>
      <c r="F44" t="inlineStr">
        <is>
          <t>C-043</t>
        </is>
      </c>
    </row>
    <row r="45">
      <c r="A45" t="inlineStr">
        <is>
          <t>AA470174</t>
        </is>
      </c>
      <c r="B45" t="inlineStr">
        <is>
          <t>Karim Bennani</t>
        </is>
      </c>
      <c r="C45" t="inlineStr">
        <is>
          <t>07 52 13 30 74</t>
        </is>
      </c>
      <c r="D45" t="inlineStr">
        <is>
          <t>non</t>
        </is>
      </c>
      <c r="E45" t="inlineStr"/>
      <c r="F45" t="inlineStr">
        <is>
          <t>C-044</t>
        </is>
      </c>
    </row>
    <row r="46">
      <c r="A46" t="inlineStr">
        <is>
          <t>AB352833</t>
        </is>
      </c>
      <c r="B46" t="inlineStr">
        <is>
          <t>Brahim Chraibi</t>
        </is>
      </c>
      <c r="C46" t="inlineStr">
        <is>
          <t>06 94 73 37 57</t>
        </is>
      </c>
      <c r="D46" t="inlineStr">
        <is>
          <t>non</t>
        </is>
      </c>
      <c r="E46" t="inlineStr"/>
      <c r="F46" t="inlineStr">
        <is>
          <t>C-045</t>
        </is>
      </c>
    </row>
    <row r="47">
      <c r="A47" t="inlineStr">
        <is>
          <t>BE997756</t>
        </is>
      </c>
      <c r="B47" t="inlineStr">
        <is>
          <t>Ines Naciri</t>
        </is>
      </c>
      <c r="C47" t="inlineStr">
        <is>
          <t>07 36 49 90 66</t>
        </is>
      </c>
      <c r="D47" t="inlineStr">
        <is>
          <t>non</t>
        </is>
      </c>
      <c r="E47" t="inlineStr"/>
      <c r="F47" t="inlineStr">
        <is>
          <t>C-046</t>
        </is>
      </c>
    </row>
    <row r="48">
      <c r="A48" t="inlineStr">
        <is>
          <t>AD221480</t>
        </is>
      </c>
      <c r="B48" t="inlineStr">
        <is>
          <t>Yassine Benchekroun</t>
        </is>
      </c>
      <c r="C48" t="inlineStr">
        <is>
          <t>06 55 96 89 98</t>
        </is>
      </c>
      <c r="D48" t="inlineStr">
        <is>
          <t>non</t>
        </is>
      </c>
      <c r="E48" t="inlineStr"/>
      <c r="F48" t="inlineStr">
        <is>
          <t>C-047</t>
        </is>
      </c>
    </row>
    <row r="49">
      <c r="A49" t="inlineStr">
        <is>
          <t>PA8178919</t>
        </is>
      </c>
      <c r="B49" t="inlineStr">
        <is>
          <t>Carlos Diallo</t>
        </is>
      </c>
      <c r="C49" t="inlineStr">
        <is>
          <t>06 80 28 92 91</t>
        </is>
      </c>
      <c r="D49" t="inlineStr">
        <is>
          <t>non</t>
        </is>
      </c>
      <c r="E49" t="inlineStr">
        <is>
          <t>Client entreprise (facture)</t>
        </is>
      </c>
      <c r="F49" t="inlineStr">
        <is>
          <t>C-048</t>
        </is>
      </c>
    </row>
    <row r="50">
      <c r="A50" t="inlineStr">
        <is>
          <t>CD582558</t>
        </is>
      </c>
      <c r="B50" t="inlineStr">
        <is>
          <t>Karim Rami</t>
        </is>
      </c>
      <c r="C50" t="inlineStr">
        <is>
          <t>07 55 72 27 23</t>
        </is>
      </c>
      <c r="D50" t="inlineStr">
        <is>
          <t>non</t>
        </is>
      </c>
      <c r="E50" t="inlineStr"/>
      <c r="F50" t="inlineStr">
        <is>
          <t>C-049</t>
        </is>
      </c>
    </row>
    <row r="51">
      <c r="A51" t="inlineStr">
        <is>
          <t>DA763793</t>
        </is>
      </c>
      <c r="B51" t="inlineStr">
        <is>
          <t>Aya Amrani</t>
        </is>
      </c>
      <c r="C51" t="inlineStr">
        <is>
          <t>06 99 95 81 51</t>
        </is>
      </c>
      <c r="D51" t="inlineStr">
        <is>
          <t>non</t>
        </is>
      </c>
      <c r="E51" t="inlineStr">
        <is>
          <t>Client entreprise (facture)</t>
        </is>
      </c>
      <c r="F51" t="inlineStr">
        <is>
          <t>C-050</t>
        </is>
      </c>
    </row>
    <row r="52">
      <c r="A52" t="inlineStr">
        <is>
          <t>CD966074</t>
        </is>
      </c>
      <c r="B52" t="inlineStr">
        <is>
          <t>Jamal Kettani</t>
        </is>
      </c>
      <c r="C52" t="inlineStr">
        <is>
          <t>06 45 47 14 20</t>
        </is>
      </c>
      <c r="D52" t="inlineStr">
        <is>
          <t>non</t>
        </is>
      </c>
      <c r="E52" t="inlineStr"/>
      <c r="F52" t="inlineStr">
        <is>
          <t>C-051</t>
        </is>
      </c>
    </row>
    <row r="53">
      <c r="A53" t="inlineStr">
        <is>
          <t>DE8666583</t>
        </is>
      </c>
      <c r="B53" t="inlineStr">
        <is>
          <t>Klaus Martin</t>
        </is>
      </c>
      <c r="C53" t="inlineStr">
        <is>
          <t>07 79 12 29 50</t>
        </is>
      </c>
      <c r="D53" t="inlineStr">
        <is>
          <t>non</t>
        </is>
      </c>
      <c r="E53" t="inlineStr"/>
      <c r="F53" t="inlineStr">
        <is>
          <t>C-052</t>
        </is>
      </c>
    </row>
    <row r="54">
      <c r="A54" t="inlineStr">
        <is>
          <t>YA9971906</t>
        </is>
      </c>
      <c r="B54" t="inlineStr">
        <is>
          <t>Ahmed Martin</t>
        </is>
      </c>
      <c r="C54" t="inlineStr">
        <is>
          <t>07 12 15 19 87</t>
        </is>
      </c>
      <c r="D54" t="inlineStr">
        <is>
          <t>non</t>
        </is>
      </c>
      <c r="E54" t="inlineStr"/>
      <c r="F54" t="inlineStr">
        <is>
          <t>C-053</t>
        </is>
      </c>
    </row>
    <row r="55">
      <c r="A55" t="inlineStr">
        <is>
          <t>FR8898392</t>
        </is>
      </c>
      <c r="B55" t="inlineStr">
        <is>
          <t>Paolo García</t>
        </is>
      </c>
      <c r="C55" t="inlineStr">
        <is>
          <t>06 51 69 98 41</t>
        </is>
      </c>
      <c r="D55" t="inlineStr">
        <is>
          <t>non</t>
        </is>
      </c>
      <c r="E55" t="inlineStr">
        <is>
          <t>Demande souvent l'aéroport</t>
        </is>
      </c>
      <c r="F55" t="inlineStr">
        <is>
          <t>C-054</t>
        </is>
      </c>
    </row>
    <row r="56">
      <c r="A56" t="inlineStr">
        <is>
          <t>A9203288</t>
        </is>
      </c>
      <c r="B56" t="inlineStr">
        <is>
          <t>Kenza Naciri</t>
        </is>
      </c>
      <c r="C56" t="inlineStr">
        <is>
          <t>06 86 33 66 34</t>
        </is>
      </c>
      <c r="D56" t="inlineStr">
        <is>
          <t>non</t>
        </is>
      </c>
      <c r="E56" t="inlineStr"/>
      <c r="F56" t="inlineStr">
        <is>
          <t>C-055</t>
        </is>
      </c>
    </row>
    <row r="57">
      <c r="A57" t="inlineStr">
        <is>
          <t>A9371075</t>
        </is>
      </c>
      <c r="B57" t="inlineStr">
        <is>
          <t>Houda Bouzidi</t>
        </is>
      </c>
      <c r="C57" t="inlineStr">
        <is>
          <t>06 59 14 77 69</t>
        </is>
      </c>
      <c r="D57" t="inlineStr">
        <is>
          <t>non</t>
        </is>
      </c>
      <c r="E57" t="inlineStr"/>
      <c r="F57" t="inlineStr">
        <is>
          <t>C-056</t>
        </is>
      </c>
    </row>
    <row r="58">
      <c r="A58" t="inlineStr">
        <is>
          <t>BK870979</t>
        </is>
      </c>
      <c r="B58" t="inlineStr">
        <is>
          <t>Kenza Benjelloun</t>
        </is>
      </c>
      <c r="C58" t="inlineStr">
        <is>
          <t>06 55 87 76 31</t>
        </is>
      </c>
      <c r="D58" t="inlineStr">
        <is>
          <t>non</t>
        </is>
      </c>
      <c r="E58" t="inlineStr"/>
      <c r="F58" t="inlineStr">
        <is>
          <t>C-057</t>
        </is>
      </c>
    </row>
    <row r="59">
      <c r="A59" t="inlineStr">
        <is>
          <t>AA681603</t>
        </is>
      </c>
      <c r="B59" t="inlineStr">
        <is>
          <t>Yassine Hajji</t>
        </is>
      </c>
      <c r="C59" t="inlineStr">
        <is>
          <t>06 68 61 24 23</t>
        </is>
      </c>
      <c r="D59" t="inlineStr">
        <is>
          <t>non</t>
        </is>
      </c>
      <c r="E59" t="inlineStr">
        <is>
          <t>Demande souvent l'aéroport</t>
        </is>
      </c>
      <c r="F59" t="inlineStr">
        <is>
          <t>C-058</t>
        </is>
      </c>
    </row>
    <row r="60">
      <c r="A60" t="inlineStr">
        <is>
          <t>AE888280</t>
        </is>
      </c>
      <c r="B60" t="inlineStr">
        <is>
          <t>Adam Bennani</t>
        </is>
      </c>
      <c r="C60" t="inlineStr">
        <is>
          <t>06 77 44 57 20</t>
        </is>
      </c>
      <c r="D60" t="inlineStr">
        <is>
          <t>non</t>
        </is>
      </c>
      <c r="E60" t="inlineStr">
        <is>
          <t>Client entreprise (facture)</t>
        </is>
      </c>
      <c r="F60" t="inlineStr">
        <is>
          <t>C-059</t>
        </is>
      </c>
    </row>
    <row r="61">
      <c r="A61" t="inlineStr">
        <is>
          <t>EE942083</t>
        </is>
      </c>
      <c r="B61" t="inlineStr">
        <is>
          <t>Hind Tahiri</t>
        </is>
      </c>
      <c r="C61" t="inlineStr">
        <is>
          <t>06 67 80 95 14</t>
        </is>
      </c>
      <c r="D61" t="inlineStr">
        <is>
          <t>non</t>
        </is>
      </c>
      <c r="E61" t="inlineStr">
        <is>
          <t>Préfère WhatsApp</t>
        </is>
      </c>
      <c r="F61" t="inlineStr">
        <is>
          <t>C-060</t>
        </is>
      </c>
    </row>
    <row r="62">
      <c r="A62" t="inlineStr">
        <is>
          <t>CD761106</t>
        </is>
      </c>
      <c r="B62" t="inlineStr">
        <is>
          <t>Lina Filali</t>
        </is>
      </c>
      <c r="C62" t="inlineStr">
        <is>
          <t>06 34 93 93 71</t>
        </is>
      </c>
      <c r="D62" t="inlineStr">
        <is>
          <t>non</t>
        </is>
      </c>
      <c r="E62" t="inlineStr"/>
      <c r="F62" t="inlineStr">
        <is>
          <t>C-061</t>
        </is>
      </c>
    </row>
    <row r="63">
      <c r="A63" t="inlineStr">
        <is>
          <t>AD107657</t>
        </is>
      </c>
      <c r="B63" t="inlineStr">
        <is>
          <t>Hamza Benjelloun</t>
        </is>
      </c>
      <c r="C63" t="inlineStr">
        <is>
          <t>07 89 92 15 70</t>
        </is>
      </c>
      <c r="D63" t="inlineStr">
        <is>
          <t>non</t>
        </is>
      </c>
      <c r="E63" t="inlineStr">
        <is>
          <t>Client entreprise (facture)</t>
        </is>
      </c>
      <c r="F63" t="inlineStr">
        <is>
          <t>C-062</t>
        </is>
      </c>
    </row>
    <row r="64">
      <c r="A64" t="inlineStr">
        <is>
          <t>IT1892934</t>
        </is>
      </c>
      <c r="B64" t="inlineStr">
        <is>
          <t>Emma Schmidt</t>
        </is>
      </c>
      <c r="C64" t="inlineStr">
        <is>
          <t>07 39 78 60 69</t>
        </is>
      </c>
      <c r="D64" t="inlineStr">
        <is>
          <t>non</t>
        </is>
      </c>
      <c r="E64" t="inlineStr"/>
      <c r="F64" t="inlineStr">
        <is>
          <t>C-063</t>
        </is>
      </c>
    </row>
    <row r="65">
      <c r="A65" t="inlineStr">
        <is>
          <t>AA562561</t>
        </is>
      </c>
      <c r="B65" t="inlineStr">
        <is>
          <t>Fouad El Amrani</t>
        </is>
      </c>
      <c r="C65" t="inlineStr">
        <is>
          <t>06 31 40 31 81</t>
        </is>
      </c>
      <c r="D65" t="inlineStr">
        <is>
          <t>non</t>
        </is>
      </c>
      <c r="E65" t="inlineStr"/>
      <c r="F65" t="inlineStr">
        <is>
          <t>C-064</t>
        </is>
      </c>
    </row>
    <row r="66">
      <c r="A66" t="inlineStr">
        <is>
          <t>EE277121</t>
        </is>
      </c>
      <c r="B66" t="inlineStr">
        <is>
          <t>Driss El Khattabi</t>
        </is>
      </c>
      <c r="C66" t="inlineStr">
        <is>
          <t>07 21 12 54 19</t>
        </is>
      </c>
      <c r="D66" t="inlineStr">
        <is>
          <t>non</t>
        </is>
      </c>
      <c r="E66" t="inlineStr"/>
      <c r="F66" t="inlineStr">
        <is>
          <t>C-065</t>
        </is>
      </c>
    </row>
    <row r="67">
      <c r="A67" t="inlineStr">
        <is>
          <t>AD962732</t>
        </is>
      </c>
      <c r="B67" t="inlineStr">
        <is>
          <t>Nour El Harrak</t>
        </is>
      </c>
      <c r="C67" t="inlineStr">
        <is>
          <t>07 98 29 97 51</t>
        </is>
      </c>
      <c r="D67" t="inlineStr">
        <is>
          <t>non</t>
        </is>
      </c>
      <c r="E67" t="inlineStr"/>
      <c r="F67" t="inlineStr">
        <is>
          <t>C-066</t>
        </is>
      </c>
    </row>
    <row r="68">
      <c r="A68" t="inlineStr">
        <is>
          <t>BK193941</t>
        </is>
      </c>
      <c r="B68" t="inlineStr">
        <is>
          <t>Karim Kadiri</t>
        </is>
      </c>
      <c r="C68" t="inlineStr">
        <is>
          <t>07 90 63 95 82</t>
        </is>
      </c>
      <c r="D68" t="inlineStr">
        <is>
          <t>non</t>
        </is>
      </c>
      <c r="E68" t="inlineStr">
        <is>
          <t>Préfère WhatsApp</t>
        </is>
      </c>
      <c r="F68" t="inlineStr">
        <is>
          <t>C-067</t>
        </is>
      </c>
    </row>
    <row r="69">
      <c r="A69" t="inlineStr">
        <is>
          <t>AE349554</t>
        </is>
      </c>
      <c r="B69" t="inlineStr">
        <is>
          <t>Youssef El Khattabi</t>
        </is>
      </c>
      <c r="C69" t="inlineStr">
        <is>
          <t>06 58 41 48 86</t>
        </is>
      </c>
      <c r="D69" t="inlineStr">
        <is>
          <t>non</t>
        </is>
      </c>
      <c r="E69" t="inlineStr"/>
      <c r="F69" t="inlineStr">
        <is>
          <t>C-068</t>
        </is>
      </c>
    </row>
    <row r="70">
      <c r="A70" t="inlineStr">
        <is>
          <t>AB849143</t>
        </is>
      </c>
      <c r="B70" t="inlineStr">
        <is>
          <t>Youssef Ouazzani</t>
        </is>
      </c>
      <c r="C70" t="inlineStr">
        <is>
          <t>07 85 22 41 95</t>
        </is>
      </c>
      <c r="D70" t="inlineStr">
        <is>
          <t>non</t>
        </is>
      </c>
      <c r="E70" t="inlineStr">
        <is>
          <t>Paiement à la remise des clés</t>
        </is>
      </c>
      <c r="F70" t="inlineStr">
        <is>
          <t>C-069</t>
        </is>
      </c>
    </row>
    <row r="71">
      <c r="A71" t="inlineStr">
        <is>
          <t>EE601342</t>
        </is>
      </c>
      <c r="B71" t="inlineStr">
        <is>
          <t>Taha Regragui</t>
        </is>
      </c>
      <c r="C71" t="inlineStr">
        <is>
          <t>06 18 26 10 88</t>
        </is>
      </c>
      <c r="D71" t="inlineStr">
        <is>
          <t>non</t>
        </is>
      </c>
      <c r="E71" t="inlineStr"/>
      <c r="F71" t="inlineStr">
        <is>
          <t>C-070</t>
        </is>
      </c>
    </row>
    <row r="72">
      <c r="A72" t="inlineStr">
        <is>
          <t>BE738077</t>
        </is>
      </c>
      <c r="B72" t="inlineStr">
        <is>
          <t>Samir Alaoui</t>
        </is>
      </c>
      <c r="C72" t="inlineStr">
        <is>
          <t>07 29 58 91 90</t>
        </is>
      </c>
      <c r="D72" t="inlineStr">
        <is>
          <t>non</t>
        </is>
      </c>
      <c r="E72" t="inlineStr"/>
      <c r="F72" t="inlineStr">
        <is>
          <t>C-071</t>
        </is>
      </c>
    </row>
    <row r="73">
      <c r="A73" t="inlineStr">
        <is>
          <t>G8446428</t>
        </is>
      </c>
      <c r="B73" t="inlineStr">
        <is>
          <t>Othmane Kadiri</t>
        </is>
      </c>
      <c r="C73" t="inlineStr">
        <is>
          <t>06 59 45 66 66</t>
        </is>
      </c>
      <c r="D73" t="inlineStr">
        <is>
          <t>non</t>
        </is>
      </c>
      <c r="E73" t="inlineStr">
        <is>
          <t>Client entreprise (facture)</t>
        </is>
      </c>
      <c r="F73" t="inlineStr">
        <is>
          <t>C-072</t>
        </is>
      </c>
    </row>
    <row r="74">
      <c r="A74" t="inlineStr">
        <is>
          <t>AE428361</t>
        </is>
      </c>
      <c r="B74" t="inlineStr">
        <is>
          <t>Rim Rami</t>
        </is>
      </c>
      <c r="C74" t="inlineStr">
        <is>
          <t>06 23 88 80 13</t>
        </is>
      </c>
      <c r="D74" t="inlineStr">
        <is>
          <t>non</t>
        </is>
      </c>
      <c r="E74" t="inlineStr"/>
      <c r="F74" t="inlineStr">
        <is>
          <t>C-073</t>
        </is>
      </c>
    </row>
    <row r="75">
      <c r="A75" t="inlineStr">
        <is>
          <t>BK335770</t>
        </is>
      </c>
      <c r="B75" t="inlineStr">
        <is>
          <t>Lina El Harrak</t>
        </is>
      </c>
      <c r="C75" t="inlineStr">
        <is>
          <t>07 31 22 39 59</t>
        </is>
      </c>
      <c r="D75" t="inlineStr">
        <is>
          <t>non</t>
        </is>
      </c>
      <c r="E75" t="inlineStr"/>
      <c r="F75" t="inlineStr">
        <is>
          <t>C-074</t>
        </is>
      </c>
    </row>
    <row r="76">
      <c r="A76" t="inlineStr">
        <is>
          <t>DA675750</t>
        </is>
      </c>
      <c r="B76" t="inlineStr">
        <is>
          <t>Ghita Chraibi</t>
        </is>
      </c>
      <c r="C76" t="inlineStr">
        <is>
          <t>07 79 78 58 98</t>
        </is>
      </c>
      <c r="D76" t="inlineStr">
        <is>
          <t>non</t>
        </is>
      </c>
      <c r="E76" t="inlineStr">
        <is>
          <t>Client entreprise (facture)</t>
        </is>
      </c>
      <c r="F76" t="inlineStr">
        <is>
          <t>C-075</t>
        </is>
      </c>
    </row>
    <row r="77">
      <c r="A77" t="inlineStr">
        <is>
          <t>CD416695</t>
        </is>
      </c>
      <c r="B77" t="inlineStr">
        <is>
          <t>Meryem Berrada</t>
        </is>
      </c>
      <c r="C77" t="inlineStr">
        <is>
          <t>06 89 35 48 31</t>
        </is>
      </c>
      <c r="D77" t="inlineStr">
        <is>
          <t>non</t>
        </is>
      </c>
      <c r="E77" t="inlineStr">
        <is>
          <t>Demande souvent l'aéroport</t>
        </is>
      </c>
      <c r="F77" t="inlineStr">
        <is>
          <t>C-076</t>
        </is>
      </c>
    </row>
    <row r="78">
      <c r="A78" t="inlineStr">
        <is>
          <t>BE813994</t>
        </is>
      </c>
      <c r="B78" t="inlineStr">
        <is>
          <t>Fouad El Khattabi</t>
        </is>
      </c>
      <c r="C78" t="inlineStr">
        <is>
          <t>06 88 49 14 86</t>
        </is>
      </c>
      <c r="D78" t="inlineStr">
        <is>
          <t>non</t>
        </is>
      </c>
      <c r="E78" t="inlineStr"/>
      <c r="F78" t="inlineStr">
        <is>
          <t>C-077</t>
        </is>
      </c>
    </row>
    <row r="79">
      <c r="A79" t="inlineStr">
        <is>
          <t>EE660854</t>
        </is>
      </c>
      <c r="B79" t="inlineStr">
        <is>
          <t>Abdel Lahlou</t>
        </is>
      </c>
      <c r="C79" t="inlineStr">
        <is>
          <t>07 95 88 74 54</t>
        </is>
      </c>
      <c r="D79" t="inlineStr">
        <is>
          <t>non</t>
        </is>
      </c>
      <c r="E79" t="inlineStr">
        <is>
          <t>Préfère WhatsApp</t>
        </is>
      </c>
      <c r="F79" t="inlineStr">
        <is>
          <t>C-078</t>
        </is>
      </c>
    </row>
    <row r="80">
      <c r="A80" t="inlineStr">
        <is>
          <t>CD550114</t>
        </is>
      </c>
      <c r="B80" t="inlineStr">
        <is>
          <t>Karim Naciri</t>
        </is>
      </c>
      <c r="C80" t="inlineStr">
        <is>
          <t>07 89 56 41 81</t>
        </is>
      </c>
      <c r="D80" t="inlineStr">
        <is>
          <t>non</t>
        </is>
      </c>
      <c r="E80" t="inlineStr">
        <is>
          <t>Demande souvent l'aéroport</t>
        </is>
      </c>
      <c r="F80" t="inlineStr">
        <is>
          <t>C-079</t>
        </is>
      </c>
    </row>
    <row r="81">
      <c r="A81" t="inlineStr">
        <is>
          <t>AD325764</t>
        </is>
      </c>
      <c r="B81" t="inlineStr">
        <is>
          <t>Sara El Fassi</t>
        </is>
      </c>
      <c r="C81" t="inlineStr">
        <is>
          <t>06 72 89 60 70</t>
        </is>
      </c>
      <c r="D81" t="inlineStr">
        <is>
          <t>non</t>
        </is>
      </c>
      <c r="E81" t="inlineStr"/>
      <c r="F81" t="inlineStr">
        <is>
          <t>C-080</t>
        </is>
      </c>
    </row>
    <row r="82">
      <c r="A82" t="inlineStr">
        <is>
          <t>AA206428</t>
        </is>
      </c>
      <c r="B82" t="inlineStr">
        <is>
          <t>Youssef El Amrani</t>
        </is>
      </c>
      <c r="C82" t="inlineStr">
        <is>
          <t>06 37 60 25 68</t>
        </is>
      </c>
      <c r="D82" t="inlineStr">
        <is>
          <t>non</t>
        </is>
      </c>
      <c r="E82" t="inlineStr">
        <is>
          <t>Préfère WhatsApp</t>
        </is>
      </c>
      <c r="F82" t="inlineStr">
        <is>
          <t>C-081</t>
        </is>
      </c>
    </row>
    <row r="83">
      <c r="A83" t="inlineStr">
        <is>
          <t>BK346421</t>
        </is>
      </c>
      <c r="B83" t="inlineStr">
        <is>
          <t>Wiam El Fassi</t>
        </is>
      </c>
      <c r="C83" t="inlineStr">
        <is>
          <t>07 49 10 22 18</t>
        </is>
      </c>
      <c r="D83" t="inlineStr">
        <is>
          <t>non</t>
        </is>
      </c>
      <c r="E83" t="inlineStr">
        <is>
          <t>Préfère WhatsApp</t>
        </is>
      </c>
      <c r="F83" t="inlineStr">
        <is>
          <t>C-082</t>
        </is>
      </c>
    </row>
    <row r="84">
      <c r="A84" t="inlineStr">
        <is>
          <t>EE210603</t>
        </is>
      </c>
      <c r="B84" t="inlineStr">
        <is>
          <t>Abdel El Fassi</t>
        </is>
      </c>
      <c r="C84" t="inlineStr">
        <is>
          <t>06 80 72 53 86</t>
        </is>
      </c>
      <c r="D84" t="inlineStr">
        <is>
          <t>non</t>
        </is>
      </c>
      <c r="E84" t="inlineStr"/>
      <c r="F84" t="inlineStr">
        <is>
          <t>C-083</t>
        </is>
      </c>
    </row>
    <row r="85">
      <c r="A85" t="inlineStr">
        <is>
          <t>BE996341</t>
        </is>
      </c>
      <c r="B85" t="inlineStr">
        <is>
          <t>Ilyas Filali</t>
        </is>
      </c>
      <c r="C85" t="inlineStr">
        <is>
          <t>06 80 64 26 21</t>
        </is>
      </c>
      <c r="D85" t="inlineStr">
        <is>
          <t>non</t>
        </is>
      </c>
      <c r="E85" t="inlineStr"/>
      <c r="F85" t="inlineStr">
        <is>
          <t>C-084</t>
        </is>
      </c>
    </row>
    <row r="86">
      <c r="A86" t="inlineStr">
        <is>
          <t>BE164321</t>
        </is>
      </c>
      <c r="B86" t="inlineStr">
        <is>
          <t>Hamza Filali</t>
        </is>
      </c>
      <c r="C86" t="inlineStr">
        <is>
          <t>07 70 54 22 16</t>
        </is>
      </c>
      <c r="D86" t="inlineStr">
        <is>
          <t>non</t>
        </is>
      </c>
      <c r="E86" t="inlineStr">
        <is>
          <t>Demande souvent l'aéroport</t>
        </is>
      </c>
      <c r="F86" t="inlineStr">
        <is>
          <t>C-085</t>
        </is>
      </c>
    </row>
    <row r="87">
      <c r="A87" t="inlineStr">
        <is>
          <t>CD649429</t>
        </is>
      </c>
      <c r="B87" t="inlineStr">
        <is>
          <t>Souad Tahiri</t>
        </is>
      </c>
      <c r="C87" t="inlineStr">
        <is>
          <t>06 64 23 54 31</t>
        </is>
      </c>
      <c r="D87" t="inlineStr">
        <is>
          <t>non</t>
        </is>
      </c>
      <c r="E87" t="inlineStr"/>
      <c r="F87" t="inlineStr">
        <is>
          <t>C-086</t>
        </is>
      </c>
    </row>
    <row r="88">
      <c r="A88" t="inlineStr">
        <is>
          <t>AE913717</t>
        </is>
      </c>
      <c r="B88" t="inlineStr">
        <is>
          <t>Hanane Sqalli</t>
        </is>
      </c>
      <c r="C88" t="inlineStr">
        <is>
          <t>07 23 98 38 56</t>
        </is>
      </c>
      <c r="D88" t="inlineStr">
        <is>
          <t>non</t>
        </is>
      </c>
      <c r="E88" t="inlineStr"/>
      <c r="F88" t="inlineStr">
        <is>
          <t>C-087</t>
        </is>
      </c>
    </row>
    <row r="89">
      <c r="A89" t="inlineStr">
        <is>
          <t>DA377046</t>
        </is>
      </c>
      <c r="B89" t="inlineStr">
        <is>
          <t>Siham El Harrak</t>
        </is>
      </c>
      <c r="C89" t="inlineStr">
        <is>
          <t>07 64 88 84 49</t>
        </is>
      </c>
      <c r="D89" t="inlineStr">
        <is>
          <t>non</t>
        </is>
      </c>
      <c r="E89" t="inlineStr"/>
      <c r="F89" t="inlineStr">
        <is>
          <t>C-088</t>
        </is>
      </c>
    </row>
    <row r="90">
      <c r="A90" t="inlineStr">
        <is>
          <t>BK365351</t>
        </is>
      </c>
      <c r="B90" t="inlineStr">
        <is>
          <t>Fatima-Zahra Bouzidi</t>
        </is>
      </c>
      <c r="C90" t="inlineStr">
        <is>
          <t>06 81 88 42 77</t>
        </is>
      </c>
      <c r="D90" t="inlineStr">
        <is>
          <t>non</t>
        </is>
      </c>
      <c r="E90" t="inlineStr">
        <is>
          <t>Paiement à la remise des clés</t>
        </is>
      </c>
      <c r="F90" t="inlineStr">
        <is>
          <t>C-089</t>
        </is>
      </c>
    </row>
    <row r="91">
      <c r="A91" t="inlineStr">
        <is>
          <t>DA563230</t>
        </is>
      </c>
      <c r="B91" t="inlineStr">
        <is>
          <t>Souad Chraibi</t>
        </is>
      </c>
      <c r="C91" t="inlineStr">
        <is>
          <t>06 55 76 49 43</t>
        </is>
      </c>
      <c r="D91" t="inlineStr">
        <is>
          <t>non</t>
        </is>
      </c>
      <c r="E91" t="inlineStr">
        <is>
          <t>Client entreprise (facture)</t>
        </is>
      </c>
      <c r="F91" t="inlineStr">
        <is>
          <t>C-090</t>
        </is>
      </c>
    </row>
    <row r="92">
      <c r="A92" t="inlineStr">
        <is>
          <t>PA6664582</t>
        </is>
      </c>
      <c r="B92" t="inlineStr">
        <is>
          <t>Anna Dupont</t>
        </is>
      </c>
      <c r="C92" t="inlineStr">
        <is>
          <t>07 91 25 94 53</t>
        </is>
      </c>
      <c r="D92" t="inlineStr">
        <is>
          <t>non</t>
        </is>
      </c>
      <c r="E92" t="inlineStr">
        <is>
          <t>Demande souvent l'aéroport</t>
        </is>
      </c>
      <c r="F92" t="inlineStr">
        <is>
          <t>C-091</t>
        </is>
      </c>
    </row>
    <row r="93">
      <c r="A93" t="inlineStr">
        <is>
          <t>EE211678</t>
        </is>
      </c>
      <c r="B93" t="inlineStr">
        <is>
          <t>Chaimae Amrani</t>
        </is>
      </c>
      <c r="C93" t="inlineStr">
        <is>
          <t>07 65 97 67 84</t>
        </is>
      </c>
      <c r="D93" t="inlineStr">
        <is>
          <t>non</t>
        </is>
      </c>
      <c r="E93" t="inlineStr">
        <is>
          <t>Préfère WhatsApp</t>
        </is>
      </c>
      <c r="F93" t="inlineStr">
        <is>
          <t>C-092</t>
        </is>
      </c>
    </row>
    <row r="94">
      <c r="A94" t="inlineStr">
        <is>
          <t>G5212575</t>
        </is>
      </c>
      <c r="B94" t="inlineStr">
        <is>
          <t>Soufiane Amrani</t>
        </is>
      </c>
      <c r="C94" t="inlineStr">
        <is>
          <t>07 11 56 62 69</t>
        </is>
      </c>
      <c r="D94" t="inlineStr">
        <is>
          <t>non</t>
        </is>
      </c>
      <c r="E94" t="inlineStr"/>
      <c r="F94" t="inlineStr">
        <is>
          <t>C-093</t>
        </is>
      </c>
    </row>
    <row r="95">
      <c r="A95" t="inlineStr">
        <is>
          <t>CD931756</t>
        </is>
      </c>
      <c r="B95" t="inlineStr">
        <is>
          <t>Zineb El Amrani</t>
        </is>
      </c>
      <c r="C95" t="inlineStr">
        <is>
          <t>06 24 52 65 43</t>
        </is>
      </c>
      <c r="D95" t="inlineStr">
        <is>
          <t>non</t>
        </is>
      </c>
      <c r="E95" t="inlineStr">
        <is>
          <t>Demande souvent l'aéroport</t>
        </is>
      </c>
      <c r="F95" t="inlineStr">
        <is>
          <t>C-094</t>
        </is>
      </c>
    </row>
    <row r="96">
      <c r="A96" t="inlineStr">
        <is>
          <t>A4460128</t>
        </is>
      </c>
      <c r="B96" t="inlineStr">
        <is>
          <t>Lina Benjelloun</t>
        </is>
      </c>
      <c r="C96" t="inlineStr">
        <is>
          <t>06 17 19 39 32</t>
        </is>
      </c>
      <c r="D96" t="inlineStr">
        <is>
          <t>non</t>
        </is>
      </c>
      <c r="E96" t="inlineStr"/>
      <c r="F96" t="inlineStr">
        <is>
          <t>C-095</t>
        </is>
      </c>
    </row>
    <row r="97">
      <c r="A97" t="inlineStr">
        <is>
          <t>BE208136</t>
        </is>
      </c>
      <c r="B97" t="inlineStr">
        <is>
          <t>Chaimae El Amrani</t>
        </is>
      </c>
      <c r="C97" t="inlineStr">
        <is>
          <t>06 47 26 23 63</t>
        </is>
      </c>
      <c r="D97" t="inlineStr">
        <is>
          <t>non</t>
        </is>
      </c>
      <c r="E97" t="inlineStr"/>
      <c r="F97" t="inlineStr">
        <is>
          <t>C-096</t>
        </is>
      </c>
    </row>
    <row r="98">
      <c r="A98" t="inlineStr">
        <is>
          <t>AB7512004</t>
        </is>
      </c>
      <c r="B98" t="inlineStr">
        <is>
          <t>Pierre Martin</t>
        </is>
      </c>
      <c r="C98" t="inlineStr">
        <is>
          <t>06 27 66 81 13</t>
        </is>
      </c>
      <c r="D98" t="inlineStr">
        <is>
          <t>non</t>
        </is>
      </c>
      <c r="E98" t="inlineStr">
        <is>
          <t>Client entreprise (facture)</t>
        </is>
      </c>
      <c r="F98" t="inlineStr">
        <is>
          <t>C-097</t>
        </is>
      </c>
    </row>
    <row r="99">
      <c r="A99" t="inlineStr">
        <is>
          <t>A7956728</t>
        </is>
      </c>
      <c r="B99" t="inlineStr">
        <is>
          <t>Mouad Chraibi</t>
        </is>
      </c>
      <c r="C99" t="inlineStr">
        <is>
          <t>07 29 44 91 78</t>
        </is>
      </c>
      <c r="D99" t="inlineStr">
        <is>
          <t>non</t>
        </is>
      </c>
      <c r="E99" t="inlineStr"/>
      <c r="F99" t="inlineStr">
        <is>
          <t>C-098</t>
        </is>
      </c>
    </row>
    <row r="100">
      <c r="A100" t="inlineStr">
        <is>
          <t>DA532628</t>
        </is>
      </c>
      <c r="B100" t="inlineStr">
        <is>
          <t>Salma Filali</t>
        </is>
      </c>
      <c r="C100" t="inlineStr">
        <is>
          <t>07 66 91 91 28</t>
        </is>
      </c>
      <c r="D100" t="inlineStr">
        <is>
          <t>non</t>
        </is>
      </c>
      <c r="E100" t="inlineStr"/>
      <c r="F100" t="inlineStr">
        <is>
          <t>C-099</t>
        </is>
      </c>
    </row>
    <row r="101">
      <c r="A101" t="inlineStr">
        <is>
          <t>BK301004</t>
        </is>
      </c>
      <c r="B101" t="inlineStr">
        <is>
          <t>Hanane Idrissi</t>
        </is>
      </c>
      <c r="C101" t="inlineStr">
        <is>
          <t>07 69 77 89 29</t>
        </is>
      </c>
      <c r="D101" t="inlineStr">
        <is>
          <t>non</t>
        </is>
      </c>
      <c r="E101" t="inlineStr"/>
      <c r="F101" t="inlineStr">
        <is>
          <t>C-100</t>
        </is>
      </c>
    </row>
    <row r="102">
      <c r="A102" t="inlineStr">
        <is>
          <t>A2728998</t>
        </is>
      </c>
      <c r="B102" t="inlineStr">
        <is>
          <t>Lina Sqalli</t>
        </is>
      </c>
      <c r="C102" t="inlineStr">
        <is>
          <t>06 69 59 19 56</t>
        </is>
      </c>
      <c r="D102" t="inlineStr">
        <is>
          <t>non</t>
        </is>
      </c>
      <c r="E102" t="inlineStr">
        <is>
          <t>Demande souvent l'aéroport</t>
        </is>
      </c>
      <c r="F102" t="inlineStr">
        <is>
          <t>C-101</t>
        </is>
      </c>
    </row>
    <row r="103">
      <c r="A103" t="inlineStr">
        <is>
          <t>DA802571</t>
        </is>
      </c>
      <c r="B103" t="inlineStr">
        <is>
          <t>Sara Kettani</t>
        </is>
      </c>
      <c r="C103" t="inlineStr">
        <is>
          <t>06 45 80 38 34</t>
        </is>
      </c>
      <c r="D103" t="inlineStr">
        <is>
          <t>non</t>
        </is>
      </c>
      <c r="E103" t="inlineStr">
        <is>
          <t>Préfère WhatsApp</t>
        </is>
      </c>
      <c r="F103" t="inlineStr">
        <is>
          <t>C-102</t>
        </is>
      </c>
    </row>
    <row r="104">
      <c r="A104" t="inlineStr">
        <is>
          <t>CD176711</t>
        </is>
      </c>
      <c r="B104" t="inlineStr">
        <is>
          <t>Anass El Fassi</t>
        </is>
      </c>
      <c r="C104" t="inlineStr">
        <is>
          <t>06 69 81 54 27</t>
        </is>
      </c>
      <c r="D104" t="inlineStr">
        <is>
          <t>non</t>
        </is>
      </c>
      <c r="E104" t="inlineStr"/>
      <c r="F104" t="inlineStr">
        <is>
          <t>C-103</t>
        </is>
      </c>
    </row>
    <row r="105">
      <c r="A105" t="inlineStr">
        <is>
          <t>BK363589</t>
        </is>
      </c>
      <c r="B105" t="inlineStr">
        <is>
          <t>Asmae El Fassi</t>
        </is>
      </c>
      <c r="C105" t="inlineStr">
        <is>
          <t>07 56 34 34 32</t>
        </is>
      </c>
      <c r="D105" t="inlineStr">
        <is>
          <t>non</t>
        </is>
      </c>
      <c r="E105" t="inlineStr">
        <is>
          <t>Préfère WhatsApp</t>
        </is>
      </c>
      <c r="F105" t="inlineStr">
        <is>
          <t>C-104</t>
        </is>
      </c>
    </row>
    <row r="106">
      <c r="A106" t="inlineStr">
        <is>
          <t>DA400926</t>
        </is>
      </c>
      <c r="B106" t="inlineStr">
        <is>
          <t>Chaimae Idrissi</t>
        </is>
      </c>
      <c r="C106" t="inlineStr">
        <is>
          <t>06 81 54 38 45</t>
        </is>
      </c>
      <c r="D106" t="inlineStr">
        <is>
          <t>non</t>
        </is>
      </c>
      <c r="E106" t="inlineStr">
        <is>
          <t>Paiement à la remise des clés</t>
        </is>
      </c>
      <c r="F106" t="inlineStr">
        <is>
          <t>C-105</t>
        </is>
      </c>
    </row>
    <row r="107">
      <c r="A107" t="inlineStr">
        <is>
          <t>AE576350</t>
        </is>
      </c>
      <c r="B107" t="inlineStr">
        <is>
          <t>Nabil Idrissi</t>
        </is>
      </c>
      <c r="C107" t="inlineStr">
        <is>
          <t>07 23 36 49 25</t>
        </is>
      </c>
      <c r="D107" t="inlineStr">
        <is>
          <t>non</t>
        </is>
      </c>
      <c r="E107" t="inlineStr">
        <is>
          <t>Client entreprise (facture)</t>
        </is>
      </c>
      <c r="F107" t="inlineStr">
        <is>
          <t>C-106</t>
        </is>
      </c>
    </row>
    <row r="108">
      <c r="A108" t="inlineStr">
        <is>
          <t>G5763862</t>
        </is>
      </c>
      <c r="B108" t="inlineStr">
        <is>
          <t>Salma Rami</t>
        </is>
      </c>
      <c r="C108" t="inlineStr">
        <is>
          <t>07 26 99 16 18</t>
        </is>
      </c>
      <c r="D108" t="inlineStr">
        <is>
          <t>non</t>
        </is>
      </c>
      <c r="E108" t="inlineStr">
        <is>
          <t>Client entreprise (facture)</t>
        </is>
      </c>
      <c r="F108" t="inlineStr">
        <is>
          <t>C-107</t>
        </is>
      </c>
    </row>
    <row r="109">
      <c r="A109" t="inlineStr">
        <is>
          <t>AD666466</t>
        </is>
      </c>
      <c r="B109" t="inlineStr">
        <is>
          <t>Adam El Khattabi</t>
        </is>
      </c>
      <c r="C109" t="inlineStr">
        <is>
          <t>06 13 50 35 13</t>
        </is>
      </c>
      <c r="D109" t="inlineStr">
        <is>
          <t>non</t>
        </is>
      </c>
      <c r="E109" t="inlineStr">
        <is>
          <t>Préfère WhatsApp</t>
        </is>
      </c>
      <c r="F109" t="inlineStr">
        <is>
          <t>C-108</t>
        </is>
      </c>
    </row>
    <row r="110">
      <c r="A110" t="inlineStr">
        <is>
          <t>GB4672197</t>
        </is>
      </c>
      <c r="B110" t="inlineStr">
        <is>
          <t>Yuki Diallo</t>
        </is>
      </c>
      <c r="C110" t="inlineStr">
        <is>
          <t>06 55 96 83 73</t>
        </is>
      </c>
      <c r="D110" t="inlineStr">
        <is>
          <t>non</t>
        </is>
      </c>
      <c r="E110" t="inlineStr">
        <is>
          <t>Paiement à la remise des clés</t>
        </is>
      </c>
      <c r="F110" t="inlineStr">
        <is>
          <t>C-109</t>
        </is>
      </c>
    </row>
    <row r="111">
      <c r="A111" t="inlineStr">
        <is>
          <t>G4386520</t>
        </is>
      </c>
      <c r="B111" t="inlineStr">
        <is>
          <t>Oussama Sefrioui</t>
        </is>
      </c>
      <c r="C111" t="inlineStr">
        <is>
          <t>07 81 91 77 54</t>
        </is>
      </c>
      <c r="D111" t="inlineStr">
        <is>
          <t>non</t>
        </is>
      </c>
      <c r="E111" t="inlineStr">
        <is>
          <t>Demande souvent l'aéroport</t>
        </is>
      </c>
      <c r="F111" t="inlineStr">
        <is>
          <t>C-110</t>
        </is>
      </c>
    </row>
    <row r="112">
      <c r="A112" t="inlineStr">
        <is>
          <t>A8270991</t>
        </is>
      </c>
      <c r="B112" t="inlineStr">
        <is>
          <t>Wiam El Khattabi</t>
        </is>
      </c>
      <c r="C112" t="inlineStr">
        <is>
          <t>07 97 16 92 86</t>
        </is>
      </c>
      <c r="D112" t="inlineStr">
        <is>
          <t>non</t>
        </is>
      </c>
      <c r="E112" t="inlineStr"/>
      <c r="F112" t="inlineStr">
        <is>
          <t>C-111</t>
        </is>
      </c>
    </row>
    <row r="113">
      <c r="A113" t="inlineStr">
        <is>
          <t>AA848437</t>
        </is>
      </c>
      <c r="B113" t="inlineStr">
        <is>
          <t>Houda Amrani</t>
        </is>
      </c>
      <c r="C113" t="inlineStr">
        <is>
          <t>07 25 43 25 41</t>
        </is>
      </c>
      <c r="D113" t="inlineStr">
        <is>
          <t>non</t>
        </is>
      </c>
      <c r="E113" t="inlineStr">
        <is>
          <t>Demande souvent l'aéroport</t>
        </is>
      </c>
      <c r="F113" t="inlineStr">
        <is>
          <t>C-112</t>
        </is>
      </c>
    </row>
    <row r="114">
      <c r="A114" t="inlineStr">
        <is>
          <t>EE109390</t>
        </is>
      </c>
      <c r="B114" t="inlineStr">
        <is>
          <t>Yassine Filali</t>
        </is>
      </c>
      <c r="C114" t="inlineStr">
        <is>
          <t>06 14 77 70 54</t>
        </is>
      </c>
      <c r="D114" t="inlineStr">
        <is>
          <t>non</t>
        </is>
      </c>
      <c r="E114" t="inlineStr"/>
      <c r="F114" t="inlineStr">
        <is>
          <t>C-113</t>
        </is>
      </c>
    </row>
    <row r="115">
      <c r="A115" t="inlineStr">
        <is>
          <t>AD835232</t>
        </is>
      </c>
      <c r="B115" t="inlineStr">
        <is>
          <t>Wiam Idrissi</t>
        </is>
      </c>
      <c r="C115" t="inlineStr">
        <is>
          <t>07 32 49 65 46</t>
        </is>
      </c>
      <c r="D115" t="inlineStr">
        <is>
          <t>non</t>
        </is>
      </c>
      <c r="E115" t="inlineStr">
        <is>
          <t>Demande souvent l'aéroport</t>
        </is>
      </c>
      <c r="F115" t="inlineStr">
        <is>
          <t>C-114</t>
        </is>
      </c>
    </row>
    <row r="116">
      <c r="A116" t="inlineStr">
        <is>
          <t>BK494164</t>
        </is>
      </c>
      <c r="B116" t="inlineStr">
        <is>
          <t>Hind Tazi</t>
        </is>
      </c>
      <c r="C116" t="inlineStr">
        <is>
          <t>07 37 87 79 86</t>
        </is>
      </c>
      <c r="D116" t="inlineStr">
        <is>
          <t>non</t>
        </is>
      </c>
      <c r="E116" t="inlineStr">
        <is>
          <t>Paiement à la remise des clés</t>
        </is>
      </c>
      <c r="F116" t="inlineStr">
        <is>
          <t>C-115</t>
        </is>
      </c>
    </row>
    <row r="117">
      <c r="A117" t="inlineStr">
        <is>
          <t>G2490965</t>
        </is>
      </c>
      <c r="B117" t="inlineStr">
        <is>
          <t>Walid Benchekroun</t>
        </is>
      </c>
      <c r="C117" t="inlineStr">
        <is>
          <t>06 44 33 20 68</t>
        </is>
      </c>
      <c r="D117" t="inlineStr">
        <is>
          <t>non</t>
        </is>
      </c>
      <c r="E117" t="inlineStr"/>
      <c r="F117" t="inlineStr">
        <is>
          <t>C-116</t>
        </is>
      </c>
    </row>
    <row r="118">
      <c r="A118" t="inlineStr">
        <is>
          <t>BK589170</t>
        </is>
      </c>
      <c r="B118" t="inlineStr">
        <is>
          <t>Zineb Mansouri</t>
        </is>
      </c>
      <c r="C118" t="inlineStr">
        <is>
          <t>07 15 45 47 98</t>
        </is>
      </c>
      <c r="D118" t="inlineStr">
        <is>
          <t>non</t>
        </is>
      </c>
      <c r="E118" t="inlineStr"/>
      <c r="F118" t="inlineStr">
        <is>
          <t>C-117</t>
        </is>
      </c>
    </row>
    <row r="119">
      <c r="A119" t="inlineStr">
        <is>
          <t>AA897780</t>
        </is>
      </c>
      <c r="B119" t="inlineStr">
        <is>
          <t>Jamal Ouazzani</t>
        </is>
      </c>
      <c r="C119" t="inlineStr">
        <is>
          <t>07 77 75 65 50</t>
        </is>
      </c>
      <c r="D119" t="inlineStr">
        <is>
          <t>non</t>
        </is>
      </c>
      <c r="E119" t="inlineStr">
        <is>
          <t>Demande souvent l'aéroport</t>
        </is>
      </c>
      <c r="F119" t="inlineStr">
        <is>
          <t>C-118</t>
        </is>
      </c>
    </row>
    <row r="120">
      <c r="A120" t="inlineStr">
        <is>
          <t>XK9750596</t>
        </is>
      </c>
      <c r="B120" t="inlineStr">
        <is>
          <t>Thomas Martin</t>
        </is>
      </c>
      <c r="C120" t="inlineStr">
        <is>
          <t>06 41 51 83 50</t>
        </is>
      </c>
      <c r="D120" t="inlineStr">
        <is>
          <t>non</t>
        </is>
      </c>
      <c r="E120" t="inlineStr">
        <is>
          <t>Touriste</t>
        </is>
      </c>
      <c r="F120" t="inlineStr">
        <is>
          <t>C-119</t>
        </is>
      </c>
    </row>
    <row r="121">
      <c r="A121" t="inlineStr">
        <is>
          <t>AE278482</t>
        </is>
      </c>
      <c r="B121" t="inlineStr">
        <is>
          <t>Sara Bouazza</t>
        </is>
      </c>
      <c r="C121" t="inlineStr">
        <is>
          <t>07 71 45 68 76</t>
        </is>
      </c>
      <c r="D121" t="inlineStr">
        <is>
          <t>non</t>
        </is>
      </c>
      <c r="E121" t="inlineStr"/>
      <c r="F121" t="inlineStr">
        <is>
          <t>C-120</t>
        </is>
      </c>
    </row>
    <row r="122">
      <c r="A122" t="inlineStr">
        <is>
          <t>A4009241</t>
        </is>
      </c>
      <c r="B122" t="inlineStr">
        <is>
          <t>Driss Amrani</t>
        </is>
      </c>
      <c r="C122" t="inlineStr">
        <is>
          <t>07 21 89 57 61</t>
        </is>
      </c>
      <c r="D122" t="inlineStr">
        <is>
          <t>non</t>
        </is>
      </c>
      <c r="E122" t="inlineStr"/>
      <c r="F122" t="inlineStr">
        <is>
          <t>C-121</t>
        </is>
      </c>
    </row>
    <row r="123">
      <c r="A123" t="inlineStr">
        <is>
          <t>A1266937</t>
        </is>
      </c>
      <c r="B123" t="inlineStr">
        <is>
          <t>Sara Tazi</t>
        </is>
      </c>
      <c r="C123" t="inlineStr">
        <is>
          <t>06 90 50 91 26</t>
        </is>
      </c>
      <c r="D123" t="inlineStr">
        <is>
          <t>non</t>
        </is>
      </c>
      <c r="E123" t="inlineStr"/>
      <c r="F123" t="inlineStr">
        <is>
          <t>C-122</t>
        </is>
      </c>
    </row>
    <row r="124">
      <c r="A124" t="inlineStr">
        <is>
          <t>AB8443832</t>
        </is>
      </c>
      <c r="B124" t="inlineStr">
        <is>
          <t>Laura Dupont</t>
        </is>
      </c>
      <c r="C124" t="inlineStr">
        <is>
          <t>06 35 86 29 73</t>
        </is>
      </c>
      <c r="D124" t="inlineStr">
        <is>
          <t>non</t>
        </is>
      </c>
      <c r="E124" t="inlineStr">
        <is>
          <t>Touriste</t>
        </is>
      </c>
      <c r="F124" t="inlineStr">
        <is>
          <t>C-123</t>
        </is>
      </c>
    </row>
    <row r="125">
      <c r="A125" t="inlineStr">
        <is>
          <t>AD137949</t>
        </is>
      </c>
      <c r="B125" t="inlineStr">
        <is>
          <t>Mouad Bennani</t>
        </is>
      </c>
      <c r="C125" t="inlineStr">
        <is>
          <t>07 77 74 71 67</t>
        </is>
      </c>
      <c r="D125" t="inlineStr">
        <is>
          <t>non</t>
        </is>
      </c>
      <c r="E125" t="inlineStr"/>
      <c r="F125" t="inlineStr">
        <is>
          <t>C-124</t>
        </is>
      </c>
    </row>
    <row r="126">
      <c r="A126" t="inlineStr">
        <is>
          <t>BK995013</t>
        </is>
      </c>
      <c r="B126" t="inlineStr">
        <is>
          <t>Abdel Tahiri</t>
        </is>
      </c>
      <c r="C126" t="inlineStr">
        <is>
          <t>06 23 49 61 40</t>
        </is>
      </c>
      <c r="D126" t="inlineStr">
        <is>
          <t>non</t>
        </is>
      </c>
      <c r="E126" t="inlineStr">
        <is>
          <t>Préfère WhatsApp</t>
        </is>
      </c>
      <c r="F126" t="inlineStr">
        <is>
          <t>C-125</t>
        </is>
      </c>
    </row>
    <row r="127">
      <c r="A127" t="inlineStr">
        <is>
          <t>XK5115911</t>
        </is>
      </c>
      <c r="B127" t="inlineStr">
        <is>
          <t>Jean-Marc García</t>
        </is>
      </c>
      <c r="C127" t="inlineStr">
        <is>
          <t>06 14 16 49 10</t>
        </is>
      </c>
      <c r="D127" t="inlineStr">
        <is>
          <t>non</t>
        </is>
      </c>
      <c r="E127" t="inlineStr">
        <is>
          <t>Touriste</t>
        </is>
      </c>
      <c r="F127" t="inlineStr">
        <is>
          <t>C-126</t>
        </is>
      </c>
    </row>
    <row r="128">
      <c r="A128" t="inlineStr">
        <is>
          <t>YA7543921</t>
        </is>
      </c>
      <c r="B128" t="inlineStr">
        <is>
          <t>Jean-Marc Rossi</t>
        </is>
      </c>
      <c r="C128" t="inlineStr">
        <is>
          <t>06 66 21 65 73</t>
        </is>
      </c>
      <c r="D128" t="inlineStr">
        <is>
          <t>non</t>
        </is>
      </c>
      <c r="E128" t="inlineStr"/>
      <c r="F128" t="inlineStr">
        <is>
          <t>C-127</t>
        </is>
      </c>
    </row>
    <row r="129">
      <c r="A129" t="inlineStr">
        <is>
          <t>A2370932</t>
        </is>
      </c>
      <c r="B129" t="inlineStr">
        <is>
          <t>Walid Regragui</t>
        </is>
      </c>
      <c r="C129" t="inlineStr">
        <is>
          <t>06 63 66 15 75</t>
        </is>
      </c>
      <c r="D129" t="inlineStr">
        <is>
          <t>non</t>
        </is>
      </c>
      <c r="E129" t="inlineStr"/>
      <c r="F129" t="inlineStr">
        <is>
          <t>C-128</t>
        </is>
      </c>
    </row>
    <row r="130">
      <c r="A130" t="inlineStr">
        <is>
          <t>BE121352</t>
        </is>
      </c>
      <c r="B130" t="inlineStr">
        <is>
          <t>Hanane Filali</t>
        </is>
      </c>
      <c r="C130" t="inlineStr">
        <is>
          <t>07 73 87 32 84</t>
        </is>
      </c>
      <c r="D130" t="inlineStr">
        <is>
          <t>non</t>
        </is>
      </c>
      <c r="E130" t="inlineStr"/>
      <c r="F130" t="inlineStr">
        <is>
          <t>C-129</t>
        </is>
      </c>
    </row>
    <row r="131">
      <c r="A131" t="inlineStr">
        <is>
          <t>AD306196</t>
        </is>
      </c>
      <c r="B131" t="inlineStr">
        <is>
          <t>Salma Benchekroun</t>
        </is>
      </c>
      <c r="C131" t="inlineStr">
        <is>
          <t>07 17 26 72 97</t>
        </is>
      </c>
      <c r="D131" t="inlineStr">
        <is>
          <t>non</t>
        </is>
      </c>
      <c r="E131" t="inlineStr"/>
      <c r="F131" t="inlineStr">
        <is>
          <t>C-130</t>
        </is>
      </c>
    </row>
    <row r="132">
      <c r="A132" t="inlineStr">
        <is>
          <t>AA241918</t>
        </is>
      </c>
      <c r="B132" t="inlineStr">
        <is>
          <t>Anass Sefrioui</t>
        </is>
      </c>
      <c r="C132" t="inlineStr">
        <is>
          <t>06 47 72 12 95</t>
        </is>
      </c>
      <c r="D132" t="inlineStr">
        <is>
          <t>non</t>
        </is>
      </c>
      <c r="E132" t="inlineStr">
        <is>
          <t>Demande souvent l'aéroport</t>
        </is>
      </c>
      <c r="F132" t="inlineStr">
        <is>
          <t>C-131</t>
        </is>
      </c>
    </row>
    <row r="133">
      <c r="A133" t="inlineStr">
        <is>
          <t>G1948412</t>
        </is>
      </c>
      <c r="B133" t="inlineStr">
        <is>
          <t>Samir El Amrani</t>
        </is>
      </c>
      <c r="C133" t="inlineStr">
        <is>
          <t>07 60 39 52 22</t>
        </is>
      </c>
      <c r="D133" t="inlineStr">
        <is>
          <t>non</t>
        </is>
      </c>
      <c r="E133" t="inlineStr">
        <is>
          <t>Demande souvent l'aéroport</t>
        </is>
      </c>
      <c r="F133" t="inlineStr">
        <is>
          <t>C-132</t>
        </is>
      </c>
    </row>
    <row r="134">
      <c r="A134" t="inlineStr">
        <is>
          <t>G8781893</t>
        </is>
      </c>
      <c r="B134" t="inlineStr">
        <is>
          <t>Nour Idrissi</t>
        </is>
      </c>
      <c r="C134" t="inlineStr">
        <is>
          <t>06 42 80 21 27</t>
        </is>
      </c>
      <c r="D134" t="inlineStr">
        <is>
          <t>non</t>
        </is>
      </c>
      <c r="E134" t="inlineStr">
        <is>
          <t>Client entreprise (facture)</t>
        </is>
      </c>
      <c r="F134" t="inlineStr">
        <is>
          <t>C-133</t>
        </is>
      </c>
    </row>
    <row r="135">
      <c r="A135" t="inlineStr">
        <is>
          <t>FR4761205</t>
        </is>
      </c>
      <c r="B135" t="inlineStr">
        <is>
          <t>Emma Diallo</t>
        </is>
      </c>
      <c r="C135" t="inlineStr">
        <is>
          <t>07 60 29 76 31</t>
        </is>
      </c>
      <c r="D135" t="inlineStr">
        <is>
          <t>non</t>
        </is>
      </c>
      <c r="E135" t="inlineStr"/>
      <c r="F135" t="inlineStr">
        <is>
          <t>C-134</t>
        </is>
      </c>
    </row>
    <row r="136">
      <c r="A136" t="inlineStr">
        <is>
          <t>A9849560</t>
        </is>
      </c>
      <c r="B136" t="inlineStr">
        <is>
          <t>Hanane Berrada</t>
        </is>
      </c>
      <c r="C136" t="inlineStr">
        <is>
          <t>06 49 29 90 29</t>
        </is>
      </c>
      <c r="D136" t="inlineStr">
        <is>
          <t>non</t>
        </is>
      </c>
      <c r="E136" t="inlineStr"/>
      <c r="F136" t="inlineStr">
        <is>
          <t>C-135</t>
        </is>
      </c>
    </row>
    <row r="137">
      <c r="A137" t="inlineStr">
        <is>
          <t>AD589766</t>
        </is>
      </c>
      <c r="B137" t="inlineStr">
        <is>
          <t>Tarik Bouzidi</t>
        </is>
      </c>
      <c r="C137" t="inlineStr">
        <is>
          <t>06 97 86 91 99</t>
        </is>
      </c>
      <c r="D137" t="inlineStr">
        <is>
          <t>non</t>
        </is>
      </c>
      <c r="E137" t="inlineStr">
        <is>
          <t>Préfère WhatsApp</t>
        </is>
      </c>
      <c r="F137" t="inlineStr">
        <is>
          <t>C-136</t>
        </is>
      </c>
    </row>
    <row r="138">
      <c r="A138" t="inlineStr">
        <is>
          <t>IT1184272</t>
        </is>
      </c>
      <c r="B138" t="inlineStr">
        <is>
          <t>Laura Martin</t>
        </is>
      </c>
      <c r="C138" t="inlineStr">
        <is>
          <t>07 25 50 25 69</t>
        </is>
      </c>
      <c r="D138" t="inlineStr">
        <is>
          <t>non</t>
        </is>
      </c>
      <c r="E138" t="inlineStr"/>
      <c r="F138" t="inlineStr">
        <is>
          <t>C-137</t>
        </is>
      </c>
    </row>
    <row r="139">
      <c r="A139" t="inlineStr">
        <is>
          <t>PA3402596</t>
        </is>
      </c>
      <c r="B139" t="inlineStr">
        <is>
          <t>Sofia Schmidt</t>
        </is>
      </c>
      <c r="C139" t="inlineStr">
        <is>
          <t>07 32 59 85 56</t>
        </is>
      </c>
      <c r="D139" t="inlineStr">
        <is>
          <t>non</t>
        </is>
      </c>
      <c r="E139" t="inlineStr">
        <is>
          <t>Demande souvent l'aéroport</t>
        </is>
      </c>
      <c r="F139" t="inlineStr">
        <is>
          <t>C-138</t>
        </is>
      </c>
    </row>
    <row r="140">
      <c r="A140" t="inlineStr">
        <is>
          <t>AB590499</t>
        </is>
      </c>
      <c r="B140" t="inlineStr">
        <is>
          <t>Adil Bouzidi</t>
        </is>
      </c>
      <c r="C140" t="inlineStr">
        <is>
          <t>07 98 14 92 75</t>
        </is>
      </c>
      <c r="D140" t="inlineStr">
        <is>
          <t>non</t>
        </is>
      </c>
      <c r="E140" t="inlineStr"/>
      <c r="F140" t="inlineStr">
        <is>
          <t>C-139</t>
        </is>
      </c>
    </row>
    <row r="141">
      <c r="A141" t="inlineStr">
        <is>
          <t>YA2573916</t>
        </is>
      </c>
      <c r="B141" t="inlineStr">
        <is>
          <t>Ahmed Martin</t>
        </is>
      </c>
      <c r="C141" t="inlineStr">
        <is>
          <t>06 77 54 61 17</t>
        </is>
      </c>
      <c r="D141" t="inlineStr">
        <is>
          <t>non</t>
        </is>
      </c>
      <c r="E141" t="inlineStr">
        <is>
          <t>Paiement à la remise des clés</t>
        </is>
      </c>
      <c r="F141" t="inlineStr">
        <is>
          <t>C-140</t>
        </is>
      </c>
    </row>
    <row r="142">
      <c r="A142" t="inlineStr">
        <is>
          <t>PA7788001</t>
        </is>
      </c>
      <c r="B142" t="inlineStr">
        <is>
          <t>Emma García</t>
        </is>
      </c>
      <c r="C142" t="inlineStr">
        <is>
          <t>07 86 52 36 43</t>
        </is>
      </c>
      <c r="D142" t="inlineStr">
        <is>
          <t>non</t>
        </is>
      </c>
      <c r="E142" t="inlineStr">
        <is>
          <t>Touriste</t>
        </is>
      </c>
      <c r="F142" t="inlineStr">
        <is>
          <t>C-141</t>
        </is>
      </c>
    </row>
    <row r="143">
      <c r="A143" t="inlineStr">
        <is>
          <t>G6378219</t>
        </is>
      </c>
      <c r="B143" t="inlineStr">
        <is>
          <t>Rachid Sefrioui</t>
        </is>
      </c>
      <c r="C143" t="inlineStr">
        <is>
          <t>06 18 35 56 25</t>
        </is>
      </c>
      <c r="D143" t="inlineStr">
        <is>
          <t>non</t>
        </is>
      </c>
      <c r="E143" t="inlineStr"/>
      <c r="F143" t="inlineStr">
        <is>
          <t>C-142</t>
        </is>
      </c>
    </row>
    <row r="144">
      <c r="A144" t="inlineStr">
        <is>
          <t>AD854214</t>
        </is>
      </c>
      <c r="B144" t="inlineStr">
        <is>
          <t>Imane Naciri</t>
        </is>
      </c>
      <c r="C144" t="inlineStr">
        <is>
          <t>07 19 70 19 92</t>
        </is>
      </c>
      <c r="D144" t="inlineStr">
        <is>
          <t>non</t>
        </is>
      </c>
      <c r="E144" t="inlineStr"/>
      <c r="F144" t="inlineStr">
        <is>
          <t>C-143</t>
        </is>
      </c>
    </row>
    <row r="145">
      <c r="A145" t="inlineStr">
        <is>
          <t>AD760481</t>
        </is>
      </c>
      <c r="B145" t="inlineStr">
        <is>
          <t>Souad Lahlou</t>
        </is>
      </c>
      <c r="C145" t="inlineStr">
        <is>
          <t>07 19 63 53 80</t>
        </is>
      </c>
      <c r="D145" t="inlineStr">
        <is>
          <t>non</t>
        </is>
      </c>
      <c r="E145" t="inlineStr">
        <is>
          <t>Préfère WhatsApp</t>
        </is>
      </c>
      <c r="F145" t="inlineStr">
        <is>
          <t>C-144</t>
        </is>
      </c>
    </row>
    <row r="146">
      <c r="A146" t="inlineStr">
        <is>
          <t>AB6448905</t>
        </is>
      </c>
      <c r="B146" t="inlineStr">
        <is>
          <t>Fatou Dupont</t>
        </is>
      </c>
      <c r="C146" t="inlineStr">
        <is>
          <t>07 37 23 59 19</t>
        </is>
      </c>
      <c r="D146" t="inlineStr">
        <is>
          <t>non</t>
        </is>
      </c>
      <c r="E146" t="inlineStr"/>
      <c r="F146" t="inlineStr">
        <is>
          <t>C-145</t>
        </is>
      </c>
    </row>
    <row r="147">
      <c r="A147" t="inlineStr">
        <is>
          <t>AB467851</t>
        </is>
      </c>
      <c r="B147" t="inlineStr">
        <is>
          <t>Sara Idrissi</t>
        </is>
      </c>
      <c r="C147" t="inlineStr">
        <is>
          <t>06 30 23 55 30</t>
        </is>
      </c>
      <c r="D147" t="inlineStr">
        <is>
          <t>non</t>
        </is>
      </c>
      <c r="E147" t="inlineStr"/>
      <c r="F147" t="inlineStr">
        <is>
          <t>C-146</t>
        </is>
      </c>
    </row>
    <row r="148">
      <c r="A148" t="inlineStr">
        <is>
          <t>CD243862</t>
        </is>
      </c>
      <c r="B148" t="inlineStr">
        <is>
          <t>Salma Benjelloun</t>
        </is>
      </c>
      <c r="C148" t="inlineStr">
        <is>
          <t>07 24 75 37 46</t>
        </is>
      </c>
      <c r="D148" t="inlineStr">
        <is>
          <t>non</t>
        </is>
      </c>
      <c r="E148" t="inlineStr"/>
      <c r="F148" t="inlineStr">
        <is>
          <t>C-147</t>
        </is>
      </c>
    </row>
    <row r="149">
      <c r="A149" t="inlineStr">
        <is>
          <t>AD633832</t>
        </is>
      </c>
      <c r="B149" t="inlineStr">
        <is>
          <t>Khadija Moussaoui</t>
        </is>
      </c>
      <c r="C149" t="inlineStr">
        <is>
          <t>07 91 18 39 57</t>
        </is>
      </c>
      <c r="D149" t="inlineStr">
        <is>
          <t>non</t>
        </is>
      </c>
      <c r="E149" t="inlineStr"/>
      <c r="F149" t="inlineStr">
        <is>
          <t>C-148</t>
        </is>
      </c>
    </row>
    <row r="150">
      <c r="A150" t="inlineStr">
        <is>
          <t>AB326595</t>
        </is>
      </c>
      <c r="B150" t="inlineStr">
        <is>
          <t>Khadija Berrada</t>
        </is>
      </c>
      <c r="C150" t="inlineStr">
        <is>
          <t>07 36 72 78 69</t>
        </is>
      </c>
      <c r="D150" t="inlineStr">
        <is>
          <t>non</t>
        </is>
      </c>
      <c r="E150" t="inlineStr">
        <is>
          <t>Paiement à la remise des clés</t>
        </is>
      </c>
      <c r="F150" t="inlineStr">
        <is>
          <t>C-149</t>
        </is>
      </c>
    </row>
    <row r="151">
      <c r="A151" t="inlineStr">
        <is>
          <t>AE279704</t>
        </is>
      </c>
      <c r="B151" t="inlineStr">
        <is>
          <t>Karim Kettani</t>
        </is>
      </c>
      <c r="C151" t="inlineStr">
        <is>
          <t>07 59 76 98 51</t>
        </is>
      </c>
      <c r="D151" t="inlineStr">
        <is>
          <t>non</t>
        </is>
      </c>
      <c r="E151" t="inlineStr">
        <is>
          <t>Client entreprise (facture)</t>
        </is>
      </c>
      <c r="F151" t="inlineStr">
        <is>
          <t>C-150</t>
        </is>
      </c>
    </row>
    <row r="152">
      <c r="A152" t="inlineStr">
        <is>
          <t>AE975066</t>
        </is>
      </c>
      <c r="B152" t="inlineStr">
        <is>
          <t>Mouad Naciri</t>
        </is>
      </c>
      <c r="C152" t="inlineStr">
        <is>
          <t>06 91 30 88 90</t>
        </is>
      </c>
      <c r="D152" t="inlineStr">
        <is>
          <t>non</t>
        </is>
      </c>
      <c r="E152" t="inlineStr">
        <is>
          <t>Paiement à la remise des clés</t>
        </is>
      </c>
      <c r="F152" t="inlineStr">
        <is>
          <t>C-151</t>
        </is>
      </c>
    </row>
    <row r="153">
      <c r="A153" t="inlineStr">
        <is>
          <t>BK141422</t>
        </is>
      </c>
      <c r="B153" t="inlineStr">
        <is>
          <t>Aya Amrani</t>
        </is>
      </c>
      <c r="C153" t="inlineStr">
        <is>
          <t>07 69 21 38 88</t>
        </is>
      </c>
      <c r="D153" t="inlineStr">
        <is>
          <t>non</t>
        </is>
      </c>
      <c r="E153" t="inlineStr"/>
      <c r="F153" t="inlineStr">
        <is>
          <t>C-152</t>
        </is>
      </c>
    </row>
    <row r="154">
      <c r="A154" t="inlineStr">
        <is>
          <t>A5775553</t>
        </is>
      </c>
      <c r="B154" t="inlineStr">
        <is>
          <t>Zakaria Ouazzani</t>
        </is>
      </c>
      <c r="C154" t="inlineStr">
        <is>
          <t>07 56 68 11 83</t>
        </is>
      </c>
      <c r="D154" t="inlineStr">
        <is>
          <t>non</t>
        </is>
      </c>
      <c r="E154" t="inlineStr">
        <is>
          <t>Demande souvent l'aéroport</t>
        </is>
      </c>
      <c r="F154" t="inlineStr">
        <is>
          <t>C-153</t>
        </is>
      </c>
    </row>
    <row r="155">
      <c r="A155" t="inlineStr">
        <is>
          <t>PA4829847</t>
        </is>
      </c>
      <c r="B155" t="inlineStr">
        <is>
          <t>Fatou Rossi</t>
        </is>
      </c>
      <c r="C155" t="inlineStr">
        <is>
          <t>06 75 69 96 87</t>
        </is>
      </c>
      <c r="D155" t="inlineStr">
        <is>
          <t>non</t>
        </is>
      </c>
      <c r="E155" t="inlineStr"/>
      <c r="F155" t="inlineStr">
        <is>
          <t>C-154</t>
        </is>
      </c>
    </row>
    <row r="156">
      <c r="A156" t="inlineStr">
        <is>
          <t>A7732341</t>
        </is>
      </c>
      <c r="B156" t="inlineStr">
        <is>
          <t>Aya El Fassi</t>
        </is>
      </c>
      <c r="C156" t="inlineStr">
        <is>
          <t>07 42 46 61 86</t>
        </is>
      </c>
      <c r="D156" t="inlineStr">
        <is>
          <t>non</t>
        </is>
      </c>
      <c r="E156" t="inlineStr">
        <is>
          <t>Client entreprise (facture)</t>
        </is>
      </c>
      <c r="F156" t="inlineStr">
        <is>
          <t>C-155</t>
        </is>
      </c>
    </row>
    <row r="157">
      <c r="A157" t="inlineStr">
        <is>
          <t>AB127910</t>
        </is>
      </c>
      <c r="B157" t="inlineStr">
        <is>
          <t>Walid Filali</t>
        </is>
      </c>
      <c r="C157" t="inlineStr">
        <is>
          <t>07 63 79 41 26</t>
        </is>
      </c>
      <c r="D157" t="inlineStr">
        <is>
          <t>non</t>
        </is>
      </c>
      <c r="E157" t="inlineStr">
        <is>
          <t>Demande souvent l'aéroport</t>
        </is>
      </c>
      <c r="F157" t="inlineStr">
        <is>
          <t>C-156</t>
        </is>
      </c>
    </row>
    <row r="158">
      <c r="A158" t="inlineStr">
        <is>
          <t>G7521270</t>
        </is>
      </c>
      <c r="B158" t="inlineStr">
        <is>
          <t>Sara Rami</t>
        </is>
      </c>
      <c r="C158" t="inlineStr">
        <is>
          <t>07 55 20 62 48</t>
        </is>
      </c>
      <c r="D158" t="inlineStr">
        <is>
          <t>non</t>
        </is>
      </c>
      <c r="E158" t="inlineStr"/>
      <c r="F158" t="inlineStr">
        <is>
          <t>C-157</t>
        </is>
      </c>
    </row>
    <row r="159">
      <c r="A159" t="inlineStr">
        <is>
          <t>PA8226803</t>
        </is>
      </c>
      <c r="B159" t="inlineStr">
        <is>
          <t>Emma Dupont</t>
        </is>
      </c>
      <c r="C159" t="inlineStr">
        <is>
          <t>06 33 14 84 90</t>
        </is>
      </c>
      <c r="D159" t="inlineStr">
        <is>
          <t>non</t>
        </is>
      </c>
      <c r="E159" t="inlineStr"/>
      <c r="F159" t="inlineStr">
        <is>
          <t>C-158</t>
        </is>
      </c>
    </row>
    <row r="160">
      <c r="A160" t="inlineStr">
        <is>
          <t>DA621970</t>
        </is>
      </c>
      <c r="B160" t="inlineStr">
        <is>
          <t>Oussama Lahlou</t>
        </is>
      </c>
      <c r="C160" t="inlineStr">
        <is>
          <t>06 24 10 13 82</t>
        </is>
      </c>
      <c r="D160" t="inlineStr">
        <is>
          <t>non</t>
        </is>
      </c>
      <c r="E160" t="inlineStr"/>
      <c r="F160" t="inlineStr">
        <is>
          <t>C-159</t>
        </is>
      </c>
    </row>
    <row r="161">
      <c r="A161" t="inlineStr">
        <is>
          <t>AB893891</t>
        </is>
      </c>
      <c r="B161" t="inlineStr">
        <is>
          <t>Youssef Alaoui</t>
        </is>
      </c>
      <c r="C161" t="inlineStr">
        <is>
          <t>06 31 11 73 12</t>
        </is>
      </c>
      <c r="D161" t="inlineStr">
        <is>
          <t>non</t>
        </is>
      </c>
      <c r="E161" t="inlineStr"/>
      <c r="F161" t="inlineStr">
        <is>
          <t>C-160</t>
        </is>
      </c>
    </row>
    <row r="162">
      <c r="A162" t="inlineStr">
        <is>
          <t>DA646673</t>
        </is>
      </c>
      <c r="B162" t="inlineStr">
        <is>
          <t>Chaimae Idrissi</t>
        </is>
      </c>
      <c r="C162" t="inlineStr">
        <is>
          <t>07 49 33 73 76</t>
        </is>
      </c>
      <c r="D162" t="inlineStr">
        <is>
          <t>non</t>
        </is>
      </c>
      <c r="E162" t="inlineStr"/>
      <c r="F162" t="inlineStr">
        <is>
          <t>C-161</t>
        </is>
      </c>
    </row>
    <row r="163">
      <c r="A163" t="inlineStr">
        <is>
          <t>FR5469938</t>
        </is>
      </c>
      <c r="B163" t="inlineStr">
        <is>
          <t>Ahmed García</t>
        </is>
      </c>
      <c r="C163" t="inlineStr">
        <is>
          <t>06 18 69 66 44</t>
        </is>
      </c>
      <c r="D163" t="inlineStr">
        <is>
          <t>non</t>
        </is>
      </c>
      <c r="E163" t="inlineStr">
        <is>
          <t>Demande souvent l'aéroport</t>
        </is>
      </c>
      <c r="F163" t="inlineStr">
        <is>
          <t>C-162</t>
        </is>
      </c>
    </row>
    <row r="164">
      <c r="A164" t="inlineStr">
        <is>
          <t>EE317790</t>
        </is>
      </c>
      <c r="B164" t="inlineStr">
        <is>
          <t>Yassine Berrada</t>
        </is>
      </c>
      <c r="C164" t="inlineStr">
        <is>
          <t>06 65 99 70 66</t>
        </is>
      </c>
      <c r="D164" t="inlineStr">
        <is>
          <t>non</t>
        </is>
      </c>
      <c r="E164" t="inlineStr">
        <is>
          <t>Paiement à la remise des clés</t>
        </is>
      </c>
      <c r="F164" t="inlineStr">
        <is>
          <t>C-163</t>
        </is>
      </c>
    </row>
    <row r="165">
      <c r="A165" t="inlineStr">
        <is>
          <t>G4621259</t>
        </is>
      </c>
      <c r="B165" t="inlineStr">
        <is>
          <t>Amine Tahiri</t>
        </is>
      </c>
      <c r="C165" t="inlineStr">
        <is>
          <t>07 48 66 92 87</t>
        </is>
      </c>
      <c r="D165" t="inlineStr">
        <is>
          <t>non</t>
        </is>
      </c>
      <c r="E165" t="inlineStr">
        <is>
          <t>Demande souvent l'aéroport</t>
        </is>
      </c>
      <c r="F165" t="inlineStr">
        <is>
          <t>C-164</t>
        </is>
      </c>
    </row>
    <row r="166">
      <c r="A166" t="inlineStr">
        <is>
          <t>CD720352</t>
        </is>
      </c>
      <c r="B166" t="inlineStr">
        <is>
          <t>Fatima-Zahra Tazi</t>
        </is>
      </c>
      <c r="C166" t="inlineStr">
        <is>
          <t>06 36 37 31 19</t>
        </is>
      </c>
      <c r="D166" t="inlineStr">
        <is>
          <t>non</t>
        </is>
      </c>
      <c r="E166" t="inlineStr"/>
      <c r="F166" t="inlineStr">
        <is>
          <t>C-165</t>
        </is>
      </c>
    </row>
    <row r="167">
      <c r="A167" t="inlineStr">
        <is>
          <t>DA264765</t>
        </is>
      </c>
      <c r="B167" t="inlineStr">
        <is>
          <t>Nour Naciri</t>
        </is>
      </c>
      <c r="C167" t="inlineStr">
        <is>
          <t>06 69 21 38 77</t>
        </is>
      </c>
      <c r="D167" t="inlineStr">
        <is>
          <t>non</t>
        </is>
      </c>
      <c r="E167" t="inlineStr"/>
      <c r="F167" t="inlineStr">
        <is>
          <t>C-166</t>
        </is>
      </c>
    </row>
    <row r="168">
      <c r="A168" t="inlineStr">
        <is>
          <t>BE195212</t>
        </is>
      </c>
      <c r="B168" t="inlineStr">
        <is>
          <t>Driss Benchekroun</t>
        </is>
      </c>
      <c r="C168" t="inlineStr">
        <is>
          <t>07 95 13 95 26</t>
        </is>
      </c>
      <c r="D168" t="inlineStr">
        <is>
          <t>non</t>
        </is>
      </c>
      <c r="E168" t="inlineStr">
        <is>
          <t>Préfère WhatsApp</t>
        </is>
      </c>
      <c r="F168" t="inlineStr">
        <is>
          <t>C-167</t>
        </is>
      </c>
    </row>
    <row r="169">
      <c r="A169" t="inlineStr">
        <is>
          <t>AB452586</t>
        </is>
      </c>
      <c r="B169" t="inlineStr">
        <is>
          <t>Khalid Sqalli</t>
        </is>
      </c>
      <c r="C169" t="inlineStr">
        <is>
          <t>07 51 73 82 74</t>
        </is>
      </c>
      <c r="D169" t="inlineStr">
        <is>
          <t>non</t>
        </is>
      </c>
      <c r="E169" t="inlineStr"/>
      <c r="F169" t="inlineStr">
        <is>
          <t>C-168</t>
        </is>
      </c>
    </row>
    <row r="170">
      <c r="A170" t="inlineStr">
        <is>
          <t>AE442098</t>
        </is>
      </c>
      <c r="B170" t="inlineStr">
        <is>
          <t>Rachid Chraibi</t>
        </is>
      </c>
      <c r="C170" t="inlineStr">
        <is>
          <t>06 65 14 64 43</t>
        </is>
      </c>
      <c r="D170" t="inlineStr">
        <is>
          <t>non</t>
        </is>
      </c>
      <c r="E170" t="inlineStr">
        <is>
          <t>Préfère WhatsApp</t>
        </is>
      </c>
      <c r="F170" t="inlineStr">
        <is>
          <t>C-169</t>
        </is>
      </c>
    </row>
    <row r="171">
      <c r="A171" t="inlineStr">
        <is>
          <t>FR7288155</t>
        </is>
      </c>
      <c r="B171" t="inlineStr">
        <is>
          <t>Pierre Martin</t>
        </is>
      </c>
      <c r="C171" t="inlineStr">
        <is>
          <t>07 62 14 83 65</t>
        </is>
      </c>
      <c r="D171" t="inlineStr">
        <is>
          <t>non</t>
        </is>
      </c>
      <c r="E171" t="inlineStr">
        <is>
          <t>Préfère WhatsApp</t>
        </is>
      </c>
      <c r="F171" t="inlineStr">
        <is>
          <t>C-170</t>
        </is>
      </c>
    </row>
    <row r="172">
      <c r="A172" t="inlineStr">
        <is>
          <t>A1469111</t>
        </is>
      </c>
      <c r="B172" t="inlineStr">
        <is>
          <t>Oussama Benchekroun</t>
        </is>
      </c>
      <c r="C172" t="inlineStr">
        <is>
          <t>07 90 44 76 51</t>
        </is>
      </c>
      <c r="D172" t="inlineStr">
        <is>
          <t>non</t>
        </is>
      </c>
      <c r="E172" t="inlineStr"/>
      <c r="F172" t="inlineStr">
        <is>
          <t>C-171</t>
        </is>
      </c>
    </row>
    <row r="173">
      <c r="A173" t="inlineStr">
        <is>
          <t>AD941277</t>
        </is>
      </c>
      <c r="B173" t="inlineStr">
        <is>
          <t>Karim El Fassi</t>
        </is>
      </c>
      <c r="C173" t="inlineStr">
        <is>
          <t>06 18 57 64 15</t>
        </is>
      </c>
      <c r="D173" t="inlineStr">
        <is>
          <t>non</t>
        </is>
      </c>
      <c r="E173" t="inlineStr">
        <is>
          <t>Client entreprise (facture)</t>
        </is>
      </c>
      <c r="F173" t="inlineStr">
        <is>
          <t>C-172</t>
        </is>
      </c>
    </row>
    <row r="174">
      <c r="A174" t="inlineStr">
        <is>
          <t>BE636382</t>
        </is>
      </c>
      <c r="B174" t="inlineStr">
        <is>
          <t>Adam El Idrissi</t>
        </is>
      </c>
      <c r="C174" t="inlineStr">
        <is>
          <t>06 87 52 92 99</t>
        </is>
      </c>
      <c r="D174" t="inlineStr">
        <is>
          <t>non</t>
        </is>
      </c>
      <c r="E174" t="inlineStr">
        <is>
          <t>Demande souvent l'aéroport</t>
        </is>
      </c>
      <c r="F174" t="inlineStr">
        <is>
          <t>C-173</t>
        </is>
      </c>
    </row>
    <row r="175">
      <c r="A175" t="inlineStr">
        <is>
          <t>XK2924569</t>
        </is>
      </c>
      <c r="B175" t="inlineStr">
        <is>
          <t>Jean-Marc Martin</t>
        </is>
      </c>
      <c r="C175" t="inlineStr">
        <is>
          <t>07 46 43 49 58</t>
        </is>
      </c>
      <c r="D175" t="inlineStr">
        <is>
          <t>non</t>
        </is>
      </c>
      <c r="E175" t="inlineStr"/>
      <c r="F175" t="inlineStr">
        <is>
          <t>C-174</t>
        </is>
      </c>
    </row>
    <row r="176">
      <c r="A176" t="inlineStr">
        <is>
          <t>EE359347</t>
        </is>
      </c>
      <c r="B176" t="inlineStr">
        <is>
          <t>Houda Kettani</t>
        </is>
      </c>
      <c r="C176" t="inlineStr">
        <is>
          <t>06 18 16 95 31</t>
        </is>
      </c>
      <c r="D176" t="inlineStr">
        <is>
          <t>non</t>
        </is>
      </c>
      <c r="E176" t="inlineStr">
        <is>
          <t>Préfère WhatsApp</t>
        </is>
      </c>
      <c r="F176" t="inlineStr">
        <is>
          <t>C-175</t>
        </is>
      </c>
    </row>
    <row r="177">
      <c r="A177" t="inlineStr">
        <is>
          <t>EE739953</t>
        </is>
      </c>
      <c r="B177" t="inlineStr">
        <is>
          <t>Imane Sefrioui</t>
        </is>
      </c>
      <c r="C177" t="inlineStr">
        <is>
          <t>06 93 18 80 92</t>
        </is>
      </c>
      <c r="D177" t="inlineStr">
        <is>
          <t>non</t>
        </is>
      </c>
      <c r="E177" t="inlineStr"/>
      <c r="F177" t="inlineStr">
        <is>
          <t>C-176</t>
        </is>
      </c>
    </row>
    <row r="178">
      <c r="A178" t="inlineStr">
        <is>
          <t>DA733092</t>
        </is>
      </c>
      <c r="B178" t="inlineStr">
        <is>
          <t>Imane Sqalli</t>
        </is>
      </c>
      <c r="C178" t="inlineStr">
        <is>
          <t>07 41 19 48 32</t>
        </is>
      </c>
      <c r="D178" t="inlineStr">
        <is>
          <t>non</t>
        </is>
      </c>
      <c r="E178" t="inlineStr"/>
      <c r="F178" t="inlineStr">
        <is>
          <t>C-177</t>
        </is>
      </c>
    </row>
    <row r="179">
      <c r="A179" t="inlineStr">
        <is>
          <t>DA894249</t>
        </is>
      </c>
      <c r="B179" t="inlineStr">
        <is>
          <t>Fouad El Khattabi</t>
        </is>
      </c>
      <c r="C179" t="inlineStr">
        <is>
          <t>07 82 50 22 63</t>
        </is>
      </c>
      <c r="D179" t="inlineStr">
        <is>
          <t>non</t>
        </is>
      </c>
      <c r="E179" t="inlineStr"/>
      <c r="F179" t="inlineStr">
        <is>
          <t>C-178</t>
        </is>
      </c>
    </row>
    <row r="180">
      <c r="A180" t="inlineStr">
        <is>
          <t>BE418225</t>
        </is>
      </c>
      <c r="B180" t="inlineStr">
        <is>
          <t>Khadija Benjelloun</t>
        </is>
      </c>
      <c r="C180" t="inlineStr">
        <is>
          <t>07 75 11 52 84</t>
        </is>
      </c>
      <c r="D180" t="inlineStr">
        <is>
          <t>non</t>
        </is>
      </c>
      <c r="E180" t="inlineStr">
        <is>
          <t>Client entreprise (facture)</t>
        </is>
      </c>
      <c r="F180" t="inlineStr">
        <is>
          <t>C-179</t>
        </is>
      </c>
    </row>
    <row r="181">
      <c r="A181" t="inlineStr">
        <is>
          <t>G9756569</t>
        </is>
      </c>
      <c r="B181" t="inlineStr">
        <is>
          <t>Fouad Kettani</t>
        </is>
      </c>
      <c r="C181" t="inlineStr">
        <is>
          <t>07 65 27 51 33</t>
        </is>
      </c>
      <c r="D181" t="inlineStr">
        <is>
          <t>non</t>
        </is>
      </c>
      <c r="E181" t="inlineStr"/>
      <c r="F181" t="inlineStr">
        <is>
          <t>C-180</t>
        </is>
      </c>
    </row>
    <row r="182">
      <c r="A182" t="inlineStr">
        <is>
          <t>CD942842</t>
        </is>
      </c>
      <c r="B182" t="inlineStr">
        <is>
          <t>Rim Tazi</t>
        </is>
      </c>
      <c r="C182" t="inlineStr">
        <is>
          <t>07 37 43 13 92</t>
        </is>
      </c>
      <c r="D182" t="inlineStr">
        <is>
          <t>non</t>
        </is>
      </c>
      <c r="E182" t="inlineStr">
        <is>
          <t>Préfère WhatsApp</t>
        </is>
      </c>
      <c r="F182" t="inlineStr">
        <is>
          <t>C-181</t>
        </is>
      </c>
    </row>
    <row r="183">
      <c r="A183" t="inlineStr">
        <is>
          <t>G1385180</t>
        </is>
      </c>
      <c r="B183" t="inlineStr">
        <is>
          <t>Khalid Moussaoui</t>
        </is>
      </c>
      <c r="C183" t="inlineStr">
        <is>
          <t>07 84 99 46 30</t>
        </is>
      </c>
      <c r="D183" t="inlineStr">
        <is>
          <t>non</t>
        </is>
      </c>
      <c r="E183" t="inlineStr">
        <is>
          <t>Demande souvent l'aéroport</t>
        </is>
      </c>
      <c r="F183" t="inlineStr">
        <is>
          <t>C-182</t>
        </is>
      </c>
    </row>
    <row r="184">
      <c r="A184" t="inlineStr">
        <is>
          <t>AA777952</t>
        </is>
      </c>
      <c r="B184" t="inlineStr">
        <is>
          <t>Karima Bouazza</t>
        </is>
      </c>
      <c r="C184" t="inlineStr">
        <is>
          <t>07 94 36 41 19</t>
        </is>
      </c>
      <c r="D184" t="inlineStr">
        <is>
          <t>non</t>
        </is>
      </c>
      <c r="E184" t="inlineStr">
        <is>
          <t>Paiement à la remise des clés</t>
        </is>
      </c>
      <c r="F184" t="inlineStr">
        <is>
          <t>C-183</t>
        </is>
      </c>
    </row>
    <row r="185">
      <c r="A185" t="inlineStr">
        <is>
          <t>A9252015</t>
        </is>
      </c>
      <c r="B185" t="inlineStr">
        <is>
          <t>Souad Lahlou</t>
        </is>
      </c>
      <c r="C185" t="inlineStr">
        <is>
          <t>07 68 67 66 59</t>
        </is>
      </c>
      <c r="D185" t="inlineStr">
        <is>
          <t>non</t>
        </is>
      </c>
      <c r="E185" t="inlineStr"/>
      <c r="F185" t="inlineStr">
        <is>
          <t>C-184</t>
        </is>
      </c>
    </row>
    <row r="186">
      <c r="A186" t="inlineStr">
        <is>
          <t>BK784742</t>
        </is>
      </c>
      <c r="B186" t="inlineStr">
        <is>
          <t>Nour El Khattabi</t>
        </is>
      </c>
      <c r="C186" t="inlineStr">
        <is>
          <t>06 78 11 49 99</t>
        </is>
      </c>
      <c r="D186" t="inlineStr">
        <is>
          <t>non</t>
        </is>
      </c>
      <c r="E186" t="inlineStr">
        <is>
          <t>Client entreprise (facture)</t>
        </is>
      </c>
      <c r="F186" t="inlineStr">
        <is>
          <t>C-185</t>
        </is>
      </c>
    </row>
    <row r="187">
      <c r="A187" t="inlineStr">
        <is>
          <t>PA5242299</t>
        </is>
      </c>
      <c r="B187" t="inlineStr">
        <is>
          <t>Fatou Martin</t>
        </is>
      </c>
      <c r="C187" t="inlineStr">
        <is>
          <t>06 64 88 91 50</t>
        </is>
      </c>
      <c r="D187" t="inlineStr">
        <is>
          <t>non</t>
        </is>
      </c>
      <c r="E187" t="inlineStr">
        <is>
          <t>Demande souvent l'aéroport</t>
        </is>
      </c>
      <c r="F187" t="inlineStr">
        <is>
          <t>C-186</t>
        </is>
      </c>
    </row>
    <row r="188">
      <c r="A188" t="inlineStr">
        <is>
          <t>DA819171</t>
        </is>
      </c>
      <c r="B188" t="inlineStr">
        <is>
          <t>Driss Chraibi</t>
        </is>
      </c>
      <c r="C188" t="inlineStr">
        <is>
          <t>07 45 61 24 75</t>
        </is>
      </c>
      <c r="D188" t="inlineStr">
        <is>
          <t>non</t>
        </is>
      </c>
      <c r="E188" t="inlineStr"/>
      <c r="F188" t="inlineStr">
        <is>
          <t>C-187</t>
        </is>
      </c>
    </row>
    <row r="189">
      <c r="A189" t="inlineStr">
        <is>
          <t>BE657286</t>
        </is>
      </c>
      <c r="B189" t="inlineStr">
        <is>
          <t>Loubna Amrani</t>
        </is>
      </c>
      <c r="C189" t="inlineStr">
        <is>
          <t>06 73 28 98 45</t>
        </is>
      </c>
      <c r="D189" t="inlineStr">
        <is>
          <t>non</t>
        </is>
      </c>
      <c r="E189" t="inlineStr">
        <is>
          <t>Demande souvent l'aéroport</t>
        </is>
      </c>
      <c r="F189" t="inlineStr">
        <is>
          <t>C-188</t>
        </is>
      </c>
    </row>
    <row r="190">
      <c r="A190" t="inlineStr">
        <is>
          <t>A4111929</t>
        </is>
      </c>
      <c r="B190" t="inlineStr">
        <is>
          <t>Ilyas El Idrissi</t>
        </is>
      </c>
      <c r="C190" t="inlineStr">
        <is>
          <t>07 80 53 26 95</t>
        </is>
      </c>
      <c r="D190" t="inlineStr">
        <is>
          <t>non</t>
        </is>
      </c>
      <c r="E190" t="inlineStr">
        <is>
          <t>Préfère WhatsApp</t>
        </is>
      </c>
      <c r="F190" t="inlineStr">
        <is>
          <t>C-189</t>
        </is>
      </c>
    </row>
    <row r="191">
      <c r="A191" t="inlineStr">
        <is>
          <t>G8815782</t>
        </is>
      </c>
      <c r="B191" t="inlineStr">
        <is>
          <t>Tarik Bouazza</t>
        </is>
      </c>
      <c r="C191" t="inlineStr">
        <is>
          <t>07 78 18 72 58</t>
        </is>
      </c>
      <c r="D191" t="inlineStr">
        <is>
          <t>non</t>
        </is>
      </c>
      <c r="E191" t="inlineStr"/>
      <c r="F191" t="inlineStr">
        <is>
          <t>C-190</t>
        </is>
      </c>
    </row>
    <row r="192">
      <c r="A192" t="inlineStr">
        <is>
          <t>EE225893</t>
        </is>
      </c>
      <c r="B192" t="inlineStr">
        <is>
          <t>Rachid El Harrak</t>
        </is>
      </c>
      <c r="C192" t="inlineStr">
        <is>
          <t>07 86 68 79 92</t>
        </is>
      </c>
      <c r="D192" t="inlineStr">
        <is>
          <t>non</t>
        </is>
      </c>
      <c r="E192" t="inlineStr">
        <is>
          <t>Préfère WhatsApp</t>
        </is>
      </c>
      <c r="F192" t="inlineStr">
        <is>
          <t>C-191</t>
        </is>
      </c>
    </row>
    <row r="193">
      <c r="A193" t="inlineStr">
        <is>
          <t>G7030384</t>
        </is>
      </c>
      <c r="B193" t="inlineStr">
        <is>
          <t>Brahim Alaoui</t>
        </is>
      </c>
      <c r="C193" t="inlineStr">
        <is>
          <t>07 92 77 34 95</t>
        </is>
      </c>
      <c r="D193" t="inlineStr">
        <is>
          <t>non</t>
        </is>
      </c>
      <c r="E193" t="inlineStr">
        <is>
          <t>Demande souvent l'aéroport</t>
        </is>
      </c>
      <c r="F193" t="inlineStr">
        <is>
          <t>C-192</t>
        </is>
      </c>
    </row>
    <row r="194">
      <c r="A194" t="inlineStr">
        <is>
          <t>G4153192</t>
        </is>
      </c>
      <c r="B194" t="inlineStr">
        <is>
          <t>Khalid Bouzidi</t>
        </is>
      </c>
      <c r="C194" t="inlineStr">
        <is>
          <t>06 60 33 43 48</t>
        </is>
      </c>
      <c r="D194" t="inlineStr">
        <is>
          <t>non</t>
        </is>
      </c>
      <c r="E194" t="inlineStr"/>
      <c r="F194" t="inlineStr">
        <is>
          <t>C-193</t>
        </is>
      </c>
    </row>
    <row r="195">
      <c r="A195" t="inlineStr">
        <is>
          <t>AD526949</t>
        </is>
      </c>
      <c r="B195" t="inlineStr">
        <is>
          <t>Samir Bouzidi</t>
        </is>
      </c>
      <c r="C195" t="inlineStr">
        <is>
          <t>07 15 35 27 11</t>
        </is>
      </c>
      <c r="D195" t="inlineStr">
        <is>
          <t>non</t>
        </is>
      </c>
      <c r="E195" t="inlineStr"/>
      <c r="F195" t="inlineStr">
        <is>
          <t>C-194</t>
        </is>
      </c>
    </row>
    <row r="196">
      <c r="A196" t="inlineStr">
        <is>
          <t>A4430872</t>
        </is>
      </c>
      <c r="B196" t="inlineStr">
        <is>
          <t>Ayoub Mansouri</t>
        </is>
      </c>
      <c r="C196" t="inlineStr">
        <is>
          <t>07 68 53 14 50</t>
        </is>
      </c>
      <c r="D196" t="inlineStr">
        <is>
          <t>non</t>
        </is>
      </c>
      <c r="E196" t="inlineStr"/>
      <c r="F196" t="inlineStr">
        <is>
          <t>C-195</t>
        </is>
      </c>
    </row>
    <row r="197">
      <c r="A197" t="inlineStr">
        <is>
          <t>GB6067136</t>
        </is>
      </c>
      <c r="B197" t="inlineStr">
        <is>
          <t>Yuki Chen</t>
        </is>
      </c>
      <c r="C197" t="inlineStr">
        <is>
          <t>07 70 85 21 13</t>
        </is>
      </c>
      <c r="D197" t="inlineStr">
        <is>
          <t>non</t>
        </is>
      </c>
      <c r="E197" t="inlineStr"/>
      <c r="F197" t="inlineStr">
        <is>
          <t>C-196</t>
        </is>
      </c>
    </row>
    <row r="198">
      <c r="A198" t="inlineStr">
        <is>
          <t>DA287805</t>
        </is>
      </c>
      <c r="B198" t="inlineStr">
        <is>
          <t>Siham El Idrissi</t>
        </is>
      </c>
      <c r="C198" t="inlineStr">
        <is>
          <t>06 77 34 27 67</t>
        </is>
      </c>
      <c r="D198" t="inlineStr">
        <is>
          <t>non</t>
        </is>
      </c>
      <c r="E198" t="inlineStr"/>
      <c r="F198" t="inlineStr">
        <is>
          <t>C-197</t>
        </is>
      </c>
    </row>
    <row r="199">
      <c r="A199" t="inlineStr">
        <is>
          <t>AA866521</t>
        </is>
      </c>
      <c r="B199" t="inlineStr">
        <is>
          <t>Souad Ouazzani</t>
        </is>
      </c>
      <c r="C199" t="inlineStr">
        <is>
          <t>07 37 50 25 25</t>
        </is>
      </c>
      <c r="D199" t="inlineStr">
        <is>
          <t>non</t>
        </is>
      </c>
      <c r="E199" t="inlineStr">
        <is>
          <t>Préfère WhatsApp</t>
        </is>
      </c>
      <c r="F199" t="inlineStr">
        <is>
          <t>C-198</t>
        </is>
      </c>
    </row>
    <row r="200">
      <c r="A200" t="inlineStr">
        <is>
          <t>AD523795</t>
        </is>
      </c>
      <c r="B200" t="inlineStr">
        <is>
          <t>Taha Filali</t>
        </is>
      </c>
      <c r="C200" t="inlineStr">
        <is>
          <t>07 71 99 49 71</t>
        </is>
      </c>
      <c r="D200" t="inlineStr">
        <is>
          <t>non</t>
        </is>
      </c>
      <c r="E200" t="inlineStr"/>
      <c r="F200" t="inlineStr">
        <is>
          <t>C-199</t>
        </is>
      </c>
    </row>
    <row r="201">
      <c r="A201" t="inlineStr">
        <is>
          <t>AA273348</t>
        </is>
      </c>
      <c r="B201" t="inlineStr">
        <is>
          <t>Ayoub Lahlou</t>
        </is>
      </c>
      <c r="C201" t="inlineStr">
        <is>
          <t>07 57 27 80 72</t>
        </is>
      </c>
      <c r="D201" t="inlineStr">
        <is>
          <t>non</t>
        </is>
      </c>
      <c r="E201" t="inlineStr">
        <is>
          <t>Paiement à la remise des clés</t>
        </is>
      </c>
      <c r="F201" t="inlineStr">
        <is>
          <t>C-200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24" customWidth="1" min="5" max="5"/>
    <col width="30" customWidth="1" min="6" max="6"/>
  </cols>
  <sheetData>
    <row r="1" ht="22" customHeight="1">
      <c r="A1" s="2" t="inlineStr">
        <is>
          <t>DATE</t>
        </is>
      </c>
      <c r="B1" s="2" t="inlineStr">
        <is>
          <t>MATRICULE</t>
        </is>
      </c>
      <c r="C1" s="2" t="inlineStr">
        <is>
          <t>CATEGORIE</t>
        </is>
      </c>
      <c r="D1" s="2" t="inlineStr">
        <is>
          <t>MONTANT</t>
        </is>
      </c>
      <c r="E1" s="2" t="inlineStr">
        <is>
          <t>FOURNISSEUR</t>
        </is>
      </c>
      <c r="F1" s="2" t="inlineStr">
        <is>
          <t>NOTE</t>
        </is>
      </c>
    </row>
    <row r="2">
      <c r="A2" s="5" t="n">
        <v>46204</v>
      </c>
      <c r="C2" t="inlineStr">
        <is>
          <t>Loyer</t>
        </is>
      </c>
      <c r="D2" s="4" t="n">
        <v>12000</v>
      </c>
      <c r="E2" t="inlineStr">
        <is>
          <t>SCI Agdal</t>
        </is>
      </c>
      <c r="F2" t="inlineStr">
        <is>
          <t>Agence Agdal</t>
        </is>
      </c>
    </row>
    <row r="3">
      <c r="A3" s="5" t="n">
        <v>46204</v>
      </c>
      <c r="C3" t="inlineStr">
        <is>
          <t>Loyer</t>
        </is>
      </c>
      <c r="D3" s="4" t="n">
        <v>7000</v>
      </c>
      <c r="E3" t="inlineStr">
        <is>
          <t>Particulier</t>
        </is>
      </c>
      <c r="F3" t="inlineStr">
        <is>
          <t>Point Hay Riad</t>
        </is>
      </c>
    </row>
    <row r="4">
      <c r="A4" s="5" t="n">
        <v>46204</v>
      </c>
      <c r="C4" t="inlineStr">
        <is>
          <t>Loyer</t>
        </is>
      </c>
      <c r="D4" s="4" t="n">
        <v>5000</v>
      </c>
      <c r="E4" t="inlineStr">
        <is>
          <t>ONDA</t>
        </is>
      </c>
      <c r="F4" t="inlineStr">
        <is>
          <t>Comptoir aéroport</t>
        </is>
      </c>
    </row>
    <row r="5">
      <c r="A5" s="5" t="n">
        <v>46206</v>
      </c>
      <c r="C5" t="inlineStr">
        <is>
          <t>Logiciel</t>
        </is>
      </c>
      <c r="D5" s="4" t="n">
        <v>400</v>
      </c>
      <c r="E5" t="inlineStr">
        <is>
          <t>Hébergement AutoFlow</t>
        </is>
      </c>
      <c r="F5" t="inlineStr">
        <is>
          <t>VPS + domaine</t>
        </is>
      </c>
    </row>
    <row r="6">
      <c r="A6" s="5" t="n">
        <v>46206</v>
      </c>
      <c r="B6" t="inlineStr">
        <is>
          <t>36193-W-1</t>
        </is>
      </c>
      <c r="C6" t="inlineStr">
        <is>
          <t>Carburant</t>
        </is>
      </c>
      <c r="D6" s="4" t="n">
        <v>600</v>
      </c>
      <c r="E6" t="inlineStr">
        <is>
          <t>Afriquia</t>
        </is>
      </c>
      <c r="F6" t="inlineStr">
        <is>
          <t>Plein avant livraison aéroport</t>
        </is>
      </c>
    </row>
    <row r="7">
      <c r="A7" s="5" t="n">
        <v>46208</v>
      </c>
      <c r="B7" t="inlineStr">
        <is>
          <t>21066-H-1</t>
        </is>
      </c>
      <c r="C7" t="inlineStr">
        <is>
          <t>Leasing</t>
        </is>
      </c>
      <c r="D7" s="4" t="n">
        <v>3750</v>
      </c>
      <c r="E7" t="inlineStr">
        <is>
          <t>Wafasalaf LOA</t>
        </is>
      </c>
      <c r="F7" t="inlineStr">
        <is>
          <t>Échéance 07/2026</t>
        </is>
      </c>
    </row>
    <row r="8">
      <c r="A8" s="5" t="n">
        <v>46208</v>
      </c>
      <c r="B8" t="inlineStr">
        <is>
          <t>36193-W-1</t>
        </is>
      </c>
      <c r="C8" t="inlineStr">
        <is>
          <t>Leasing</t>
        </is>
      </c>
      <c r="D8" s="4" t="n">
        <v>3000</v>
      </c>
      <c r="E8" t="inlineStr">
        <is>
          <t>Wafasalaf LOA</t>
        </is>
      </c>
      <c r="F8" t="inlineStr">
        <is>
          <t>Échéance 07/2026</t>
        </is>
      </c>
    </row>
    <row r="9">
      <c r="A9" s="5" t="n">
        <v>46208</v>
      </c>
      <c r="B9" t="inlineStr">
        <is>
          <t>47649-D-1</t>
        </is>
      </c>
      <c r="C9" t="inlineStr">
        <is>
          <t>Leasing</t>
        </is>
      </c>
      <c r="D9" s="4" t="n">
        <v>1870</v>
      </c>
      <c r="E9" t="inlineStr">
        <is>
          <t>Wafasalaf LOA</t>
        </is>
      </c>
      <c r="F9" t="inlineStr">
        <is>
          <t>Échéance 07/2026</t>
        </is>
      </c>
    </row>
    <row r="10">
      <c r="A10" s="5" t="n">
        <v>46208</v>
      </c>
      <c r="B10" t="inlineStr">
        <is>
          <t>69221-A-1</t>
        </is>
      </c>
      <c r="C10" t="inlineStr">
        <is>
          <t>Leasing</t>
        </is>
      </c>
      <c r="D10" s="4" t="n">
        <v>8250</v>
      </c>
      <c r="E10" t="inlineStr">
        <is>
          <t>Wafasalaf LOA</t>
        </is>
      </c>
      <c r="F10" t="inlineStr">
        <is>
          <t>Échéance 07/2026</t>
        </is>
      </c>
    </row>
    <row r="11">
      <c r="A11" s="5" t="n">
        <v>46208</v>
      </c>
      <c r="B11" t="inlineStr">
        <is>
          <t>74343-B-1</t>
        </is>
      </c>
      <c r="C11" t="inlineStr">
        <is>
          <t>Leasing</t>
        </is>
      </c>
      <c r="D11" s="4" t="n">
        <v>1720</v>
      </c>
      <c r="E11" t="inlineStr">
        <is>
          <t>Wafasalaf LOA</t>
        </is>
      </c>
      <c r="F11" t="inlineStr">
        <is>
          <t>Échéance 07/2026</t>
        </is>
      </c>
    </row>
    <row r="12">
      <c r="A12" s="5" t="n">
        <v>46208</v>
      </c>
      <c r="B12" t="inlineStr">
        <is>
          <t>83373-B-1</t>
        </is>
      </c>
      <c r="C12" t="inlineStr">
        <is>
          <t>Leasing</t>
        </is>
      </c>
      <c r="D12" s="4" t="n">
        <v>2020</v>
      </c>
      <c r="E12" t="inlineStr">
        <is>
          <t>Wafasalaf LOA</t>
        </is>
      </c>
      <c r="F12" t="inlineStr">
        <is>
          <t>Échéance 07/2026</t>
        </is>
      </c>
    </row>
    <row r="13">
      <c r="A13" s="5" t="n">
        <v>46208</v>
      </c>
      <c r="B13" t="inlineStr">
        <is>
          <t>83662-D-1</t>
        </is>
      </c>
      <c r="C13" t="inlineStr">
        <is>
          <t>Leasing</t>
        </is>
      </c>
      <c r="D13" s="4" t="n">
        <v>2700</v>
      </c>
      <c r="E13" t="inlineStr">
        <is>
          <t>Wafasalaf LOA</t>
        </is>
      </c>
      <c r="F13" t="inlineStr">
        <is>
          <t>Échéance 07/2026</t>
        </is>
      </c>
    </row>
    <row r="14">
      <c r="A14" s="5" t="n">
        <v>46208</v>
      </c>
      <c r="B14" t="inlineStr">
        <is>
          <t>85272-B-1</t>
        </is>
      </c>
      <c r="C14" t="inlineStr">
        <is>
          <t>Leasing</t>
        </is>
      </c>
      <c r="D14" s="4" t="n">
        <v>3370</v>
      </c>
      <c r="E14" t="inlineStr">
        <is>
          <t>Wafasalaf LOA</t>
        </is>
      </c>
      <c r="F14" t="inlineStr">
        <is>
          <t>Échéance 07/2026</t>
        </is>
      </c>
    </row>
    <row r="15">
      <c r="A15" s="5" t="n">
        <v>46208</v>
      </c>
      <c r="B15" t="inlineStr">
        <is>
          <t>88664-D-1</t>
        </is>
      </c>
      <c r="C15" t="inlineStr">
        <is>
          <t>Leasing</t>
        </is>
      </c>
      <c r="D15" s="4" t="n">
        <v>2250</v>
      </c>
      <c r="E15" t="inlineStr">
        <is>
          <t>Wafasalaf LOA</t>
        </is>
      </c>
      <c r="F15" t="inlineStr">
        <is>
          <t>Échéance 07/2026</t>
        </is>
      </c>
    </row>
    <row r="16">
      <c r="A16" s="5" t="n">
        <v>46208</v>
      </c>
      <c r="B16" t="inlineStr">
        <is>
          <t>91702-H-1</t>
        </is>
      </c>
      <c r="C16" t="inlineStr">
        <is>
          <t>Leasing</t>
        </is>
      </c>
      <c r="D16" s="4" t="n">
        <v>6000</v>
      </c>
      <c r="E16" t="inlineStr">
        <is>
          <t>Wafasalaf LOA</t>
        </is>
      </c>
      <c r="F16" t="inlineStr">
        <is>
          <t>Échéance 07/2026</t>
        </is>
      </c>
    </row>
    <row r="17">
      <c r="A17" s="5" t="n">
        <v>46208</v>
      </c>
      <c r="B17" t="inlineStr">
        <is>
          <t>94626-B-1</t>
        </is>
      </c>
      <c r="C17" t="inlineStr">
        <is>
          <t>Leasing</t>
        </is>
      </c>
      <c r="D17" s="4" t="n">
        <v>6750</v>
      </c>
      <c r="E17" t="inlineStr">
        <is>
          <t>Wafasalaf LOA</t>
        </is>
      </c>
      <c r="F17" t="inlineStr">
        <is>
          <t>Échéance 07/2026</t>
        </is>
      </c>
    </row>
    <row r="18">
      <c r="A18" s="5" t="n">
        <v>46208</v>
      </c>
      <c r="B18" t="inlineStr">
        <is>
          <t>96667-D-1</t>
        </is>
      </c>
      <c r="C18" t="inlineStr">
        <is>
          <t>Leasing</t>
        </is>
      </c>
      <c r="D18" s="4" t="n">
        <v>6000</v>
      </c>
      <c r="E18" t="inlineStr">
        <is>
          <t>Wafasalaf LOA</t>
        </is>
      </c>
      <c r="F18" t="inlineStr">
        <is>
          <t>Échéance 07/2026</t>
        </is>
      </c>
    </row>
    <row r="19">
      <c r="A19" s="5" t="n">
        <v>46208</v>
      </c>
      <c r="B19" t="inlineStr">
        <is>
          <t>97618-A-1</t>
        </is>
      </c>
      <c r="C19" t="inlineStr">
        <is>
          <t>Leasing</t>
        </is>
      </c>
      <c r="D19" s="4" t="n">
        <v>3000</v>
      </c>
      <c r="E19" t="inlineStr">
        <is>
          <t>Wafasalaf LOA</t>
        </is>
      </c>
      <c r="F19" t="inlineStr">
        <is>
          <t>Échéance 07/2026</t>
        </is>
      </c>
    </row>
    <row r="20">
      <c r="A20" s="5" t="n">
        <v>46209</v>
      </c>
      <c r="B20" t="inlineStr">
        <is>
          <t>71994-D-1</t>
        </is>
      </c>
      <c r="C20" t="inlineStr">
        <is>
          <t>Carburant</t>
        </is>
      </c>
      <c r="D20" s="4" t="n">
        <v>600</v>
      </c>
      <c r="E20" t="inlineStr">
        <is>
          <t>Afriquia</t>
        </is>
      </c>
      <c r="F20" t="inlineStr">
        <is>
          <t>Plein avant livraison aéroport</t>
        </is>
      </c>
    </row>
    <row r="21">
      <c r="A21" s="5" t="n">
        <v>46210</v>
      </c>
      <c r="B21" t="inlineStr">
        <is>
          <t>69221-A-1</t>
        </is>
      </c>
      <c r="C21" t="inlineStr">
        <is>
          <t>Carburant</t>
        </is>
      </c>
      <c r="D21" s="4" t="n">
        <v>500</v>
      </c>
      <c r="E21" t="inlineStr">
        <is>
          <t>Afriquia</t>
        </is>
      </c>
      <c r="F21" t="inlineStr">
        <is>
          <t>Plein avant livraison aéroport</t>
        </is>
      </c>
    </row>
    <row r="22">
      <c r="A22" s="5" t="n">
        <v>46214</v>
      </c>
      <c r="B22" t="inlineStr">
        <is>
          <t>74343-B-1</t>
        </is>
      </c>
      <c r="C22" t="inlineStr">
        <is>
          <t>Réparation</t>
        </is>
      </c>
      <c r="D22" s="4" t="n">
        <v>3000</v>
      </c>
      <c r="E22" t="inlineStr">
        <is>
          <t>Auto Service Hay Riad</t>
        </is>
      </c>
      <c r="F22" t="inlineStr">
        <is>
          <t>Batterie</t>
        </is>
      </c>
    </row>
    <row r="23">
      <c r="A23" s="5" t="n">
        <v>46215</v>
      </c>
      <c r="C23" t="inlineStr">
        <is>
          <t>Électricité &amp; eau</t>
        </is>
      </c>
      <c r="D23" s="4" t="n">
        <v>1170</v>
      </c>
      <c r="E23" t="inlineStr">
        <is>
          <t>Redal</t>
        </is>
      </c>
      <c r="F23" t="inlineStr"/>
    </row>
    <row r="24">
      <c r="A24" s="5" t="n">
        <v>46217</v>
      </c>
      <c r="B24" t="inlineStr">
        <is>
          <t>94626-B-1</t>
        </is>
      </c>
      <c r="C24" t="inlineStr">
        <is>
          <t>Carburant</t>
        </is>
      </c>
      <c r="D24" s="4" t="n">
        <v>700</v>
      </c>
      <c r="E24" t="inlineStr">
        <is>
          <t>Afriquia</t>
        </is>
      </c>
      <c r="F24" t="inlineStr">
        <is>
          <t>Plein avant livraison aéroport</t>
        </is>
      </c>
    </row>
    <row r="25">
      <c r="A25" s="5" t="n">
        <v>46217</v>
      </c>
      <c r="B25" t="inlineStr">
        <is>
          <t>94626-B-1</t>
        </is>
      </c>
      <c r="C25" t="inlineStr">
        <is>
          <t>Réparation</t>
        </is>
      </c>
      <c r="D25" s="4" t="n">
        <v>3400</v>
      </c>
      <c r="E25" t="inlineStr">
        <is>
          <t>Garage Atlas Agdal</t>
        </is>
      </c>
      <c r="F25" t="inlineStr">
        <is>
          <t>Carrosserie</t>
        </is>
      </c>
    </row>
    <row r="26">
      <c r="A26" s="5" t="n">
        <v>46218</v>
      </c>
      <c r="C26" t="inlineStr">
        <is>
          <t>Internet &amp; téléphone</t>
        </is>
      </c>
      <c r="D26" s="4" t="n">
        <v>780</v>
      </c>
      <c r="E26" t="inlineStr">
        <is>
          <t>Maroc Telecom</t>
        </is>
      </c>
      <c r="F26" t="inlineStr">
        <is>
          <t>Fibre + 4 lignes</t>
        </is>
      </c>
    </row>
    <row r="27">
      <c r="A27" s="5" t="n">
        <v>46219</v>
      </c>
      <c r="B27" t="inlineStr">
        <is>
          <t>47649-D-1</t>
        </is>
      </c>
      <c r="C27" t="inlineStr">
        <is>
          <t>Réparation</t>
        </is>
      </c>
      <c r="D27" s="4" t="n">
        <v>2000</v>
      </c>
      <c r="E27" t="inlineStr">
        <is>
          <t>Speedy Rabat</t>
        </is>
      </c>
      <c r="F27" t="inlineStr">
        <is>
          <t>Batterie</t>
        </is>
      </c>
    </row>
    <row r="28">
      <c r="A28" s="5" t="n">
        <v>46221</v>
      </c>
      <c r="B28" t="inlineStr">
        <is>
          <t>76897-B-1</t>
        </is>
      </c>
      <c r="C28" t="inlineStr">
        <is>
          <t>Carburant</t>
        </is>
      </c>
      <c r="D28" s="4" t="n">
        <v>400</v>
      </c>
      <c r="E28" t="inlineStr">
        <is>
          <t>Afriquia</t>
        </is>
      </c>
      <c r="F28" t="inlineStr">
        <is>
          <t>Plein avant livraison aéroport</t>
        </is>
      </c>
    </row>
    <row r="29">
      <c r="A29" s="5" t="n">
        <v>46223</v>
      </c>
      <c r="C29" t="inlineStr">
        <is>
          <t>Marketing</t>
        </is>
      </c>
      <c r="D29" s="4" t="n">
        <v>6100</v>
      </c>
      <c r="E29" t="inlineStr">
        <is>
          <t>Meta Ads / Google Ads</t>
        </is>
      </c>
      <c r="F29" t="inlineStr">
        <is>
          <t>Campagne été</t>
        </is>
      </c>
    </row>
    <row r="30">
      <c r="A30" s="5" t="n">
        <v>46228</v>
      </c>
      <c r="C30" t="inlineStr">
        <is>
          <t>Comptabilité</t>
        </is>
      </c>
      <c r="D30" s="4" t="n">
        <v>2500</v>
      </c>
      <c r="E30" t="inlineStr">
        <is>
          <t>Cabinet Fiduciaire</t>
        </is>
      </c>
      <c r="F30" t="inlineStr"/>
    </row>
    <row r="31">
      <c r="A31" s="5" t="n">
        <v>46229</v>
      </c>
      <c r="B31" t="inlineStr">
        <is>
          <t>35623-W-1</t>
        </is>
      </c>
      <c r="C31" t="inlineStr">
        <is>
          <t>Carburant</t>
        </is>
      </c>
      <c r="D31" s="4" t="n">
        <v>400</v>
      </c>
      <c r="E31" t="inlineStr">
        <is>
          <t>Afriquia</t>
        </is>
      </c>
      <c r="F31" t="inlineStr">
        <is>
          <t>Plein avant livraison aéroport</t>
        </is>
      </c>
    </row>
    <row r="32">
      <c r="A32" s="5" t="n">
        <v>46229</v>
      </c>
      <c r="B32" t="inlineStr">
        <is>
          <t>54616-W-1</t>
        </is>
      </c>
      <c r="C32" t="inlineStr">
        <is>
          <t>Carburant</t>
        </is>
      </c>
      <c r="D32" s="4" t="n">
        <v>600</v>
      </c>
      <c r="E32" t="inlineStr">
        <is>
          <t>Afriquia</t>
        </is>
      </c>
      <c r="F32" t="inlineStr">
        <is>
          <t>Plein avant livraison aéroport</t>
        </is>
      </c>
    </row>
    <row r="33">
      <c r="A33" s="5" t="n">
        <v>46231</v>
      </c>
      <c r="C33" t="inlineStr">
        <is>
          <t>Salaires</t>
        </is>
      </c>
      <c r="D33" s="4" t="n">
        <v>40000</v>
      </c>
      <c r="E33" t="inlineStr">
        <is>
          <t>Personnel</t>
        </is>
      </c>
      <c r="F33" t="inlineStr">
        <is>
          <t>4 agents + renfort été</t>
        </is>
      </c>
    </row>
    <row r="34">
      <c r="A34" s="5" t="n">
        <v>46234</v>
      </c>
      <c r="B34" t="inlineStr">
        <is>
          <t>21066-H-1</t>
        </is>
      </c>
      <c r="C34" t="inlineStr">
        <is>
          <t>Lavage</t>
        </is>
      </c>
      <c r="D34" s="4" t="n">
        <v>160</v>
      </c>
      <c r="E34" t="inlineStr">
        <is>
          <t>Lavage Express Agdal</t>
        </is>
      </c>
      <c r="F34" t="inlineStr">
        <is>
          <t>4 lavages</t>
        </is>
      </c>
    </row>
    <row r="35">
      <c r="A35" s="5" t="n">
        <v>46234</v>
      </c>
      <c r="B35" t="inlineStr">
        <is>
          <t>22080-H-1</t>
        </is>
      </c>
      <c r="C35" t="inlineStr">
        <is>
          <t>Lavage</t>
        </is>
      </c>
      <c r="D35" s="4" t="n">
        <v>160</v>
      </c>
      <c r="E35" t="inlineStr">
        <is>
          <t>Lavage Express Agdal</t>
        </is>
      </c>
      <c r="F35" t="inlineStr">
        <is>
          <t>4 lavages</t>
        </is>
      </c>
    </row>
    <row r="36">
      <c r="A36" s="5" t="n">
        <v>46234</v>
      </c>
      <c r="B36" t="inlineStr">
        <is>
          <t>22394-A-1</t>
        </is>
      </c>
      <c r="C36" t="inlineStr">
        <is>
          <t>Lavage</t>
        </is>
      </c>
      <c r="D36" s="4" t="n">
        <v>120</v>
      </c>
      <c r="E36" t="inlineStr">
        <is>
          <t>Lavage Express Agdal</t>
        </is>
      </c>
      <c r="F36" t="inlineStr">
        <is>
          <t>3 lavages</t>
        </is>
      </c>
    </row>
    <row r="37">
      <c r="A37" s="5" t="n">
        <v>46234</v>
      </c>
      <c r="B37" t="inlineStr">
        <is>
          <t>25835-W-1</t>
        </is>
      </c>
      <c r="C37" t="inlineStr">
        <is>
          <t>Lavage</t>
        </is>
      </c>
      <c r="D37" s="4" t="n">
        <v>160</v>
      </c>
      <c r="E37" t="inlineStr">
        <is>
          <t>Lavage Express Agdal</t>
        </is>
      </c>
      <c r="F37" t="inlineStr">
        <is>
          <t>4 lavages</t>
        </is>
      </c>
    </row>
    <row r="38">
      <c r="A38" s="5" t="n">
        <v>46234</v>
      </c>
      <c r="B38" t="inlineStr">
        <is>
          <t>33992-B-1</t>
        </is>
      </c>
      <c r="C38" t="inlineStr">
        <is>
          <t>Lavage</t>
        </is>
      </c>
      <c r="D38" s="4" t="n">
        <v>120</v>
      </c>
      <c r="E38" t="inlineStr">
        <is>
          <t>Lavage Express Agdal</t>
        </is>
      </c>
      <c r="F38" t="inlineStr">
        <is>
          <t>3 lavages</t>
        </is>
      </c>
    </row>
    <row r="39">
      <c r="A39" s="5" t="n">
        <v>46234</v>
      </c>
      <c r="B39" t="inlineStr">
        <is>
          <t>35623-W-1</t>
        </is>
      </c>
      <c r="C39" t="inlineStr">
        <is>
          <t>Lavage</t>
        </is>
      </c>
      <c r="D39" s="4" t="n">
        <v>160</v>
      </c>
      <c r="E39" t="inlineStr">
        <is>
          <t>Lavage Express Agdal</t>
        </is>
      </c>
      <c r="F39" t="inlineStr">
        <is>
          <t>4 lavages</t>
        </is>
      </c>
    </row>
    <row r="40">
      <c r="A40" s="5" t="n">
        <v>46234</v>
      </c>
      <c r="B40" t="inlineStr">
        <is>
          <t>36193-W-1</t>
        </is>
      </c>
      <c r="C40" t="inlineStr">
        <is>
          <t>Lavage</t>
        </is>
      </c>
      <c r="D40" s="4" t="n">
        <v>120</v>
      </c>
      <c r="E40" t="inlineStr">
        <is>
          <t>Lavage Express Agdal</t>
        </is>
      </c>
      <c r="F40" t="inlineStr">
        <is>
          <t>3 lavages</t>
        </is>
      </c>
    </row>
    <row r="41">
      <c r="A41" s="5" t="n">
        <v>46234</v>
      </c>
      <c r="B41" t="inlineStr">
        <is>
          <t>47649-D-1</t>
        </is>
      </c>
      <c r="C41" t="inlineStr">
        <is>
          <t>Lavage</t>
        </is>
      </c>
      <c r="D41" s="4" t="n">
        <v>160</v>
      </c>
      <c r="E41" t="inlineStr">
        <is>
          <t>Lavage Express Agdal</t>
        </is>
      </c>
      <c r="F41" t="inlineStr">
        <is>
          <t>4 lavages</t>
        </is>
      </c>
    </row>
    <row r="42">
      <c r="A42" s="5" t="n">
        <v>46234</v>
      </c>
      <c r="B42" t="inlineStr">
        <is>
          <t>49965-H-1</t>
        </is>
      </c>
      <c r="C42" t="inlineStr">
        <is>
          <t>Lavage</t>
        </is>
      </c>
      <c r="D42" s="4" t="n">
        <v>120</v>
      </c>
      <c r="E42" t="inlineStr">
        <is>
          <t>Lavage Express Agdal</t>
        </is>
      </c>
      <c r="F42" t="inlineStr">
        <is>
          <t>3 lavages</t>
        </is>
      </c>
    </row>
    <row r="43">
      <c r="A43" s="5" t="n">
        <v>46234</v>
      </c>
      <c r="B43" t="inlineStr">
        <is>
          <t>54616-W-1</t>
        </is>
      </c>
      <c r="C43" t="inlineStr">
        <is>
          <t>Lavage</t>
        </is>
      </c>
      <c r="D43" s="4" t="n">
        <v>80</v>
      </c>
      <c r="E43" t="inlineStr">
        <is>
          <t>Lavage Express Agdal</t>
        </is>
      </c>
      <c r="F43" t="inlineStr">
        <is>
          <t>2 lavages</t>
        </is>
      </c>
    </row>
    <row r="44">
      <c r="A44" s="5" t="n">
        <v>46234</v>
      </c>
      <c r="B44" t="inlineStr">
        <is>
          <t>62064-H-1</t>
        </is>
      </c>
      <c r="C44" t="inlineStr">
        <is>
          <t>Lavage</t>
        </is>
      </c>
      <c r="D44" s="4" t="n">
        <v>160</v>
      </c>
      <c r="E44" t="inlineStr">
        <is>
          <t>Lavage Express Agdal</t>
        </is>
      </c>
      <c r="F44" t="inlineStr">
        <is>
          <t>4 lavages</t>
        </is>
      </c>
    </row>
    <row r="45">
      <c r="A45" s="5" t="n">
        <v>46234</v>
      </c>
      <c r="B45" t="inlineStr">
        <is>
          <t>62268-B-1</t>
        </is>
      </c>
      <c r="C45" t="inlineStr">
        <is>
          <t>Lavage</t>
        </is>
      </c>
      <c r="D45" s="4" t="n">
        <v>160</v>
      </c>
      <c r="E45" t="inlineStr">
        <is>
          <t>Lavage Express Agdal</t>
        </is>
      </c>
      <c r="F45" t="inlineStr">
        <is>
          <t>4 lavages</t>
        </is>
      </c>
    </row>
    <row r="46">
      <c r="A46" s="5" t="n">
        <v>46234</v>
      </c>
      <c r="B46" t="inlineStr">
        <is>
          <t>69221-A-1</t>
        </is>
      </c>
      <c r="C46" t="inlineStr">
        <is>
          <t>Lavage</t>
        </is>
      </c>
      <c r="D46" s="4" t="n">
        <v>160</v>
      </c>
      <c r="E46" t="inlineStr">
        <is>
          <t>Lavage Express Agdal</t>
        </is>
      </c>
      <c r="F46" t="inlineStr">
        <is>
          <t>4 lavages</t>
        </is>
      </c>
    </row>
    <row r="47">
      <c r="A47" s="5" t="n">
        <v>46234</v>
      </c>
      <c r="B47" t="inlineStr">
        <is>
          <t>69873-A-1</t>
        </is>
      </c>
      <c r="C47" t="inlineStr">
        <is>
          <t>Lavage</t>
        </is>
      </c>
      <c r="D47" s="4" t="n">
        <v>80</v>
      </c>
      <c r="E47" t="inlineStr">
        <is>
          <t>Lavage Express Agdal</t>
        </is>
      </c>
      <c r="F47" t="inlineStr">
        <is>
          <t>2 lavages</t>
        </is>
      </c>
    </row>
    <row r="48">
      <c r="A48" s="5" t="n">
        <v>46234</v>
      </c>
      <c r="B48" t="inlineStr">
        <is>
          <t>71302-W-1</t>
        </is>
      </c>
      <c r="C48" t="inlineStr">
        <is>
          <t>Lavage</t>
        </is>
      </c>
      <c r="D48" s="4" t="n">
        <v>80</v>
      </c>
      <c r="E48" t="inlineStr">
        <is>
          <t>Lavage Express Agdal</t>
        </is>
      </c>
      <c r="F48" t="inlineStr">
        <is>
          <t>2 lavages</t>
        </is>
      </c>
    </row>
    <row r="49">
      <c r="A49" s="5" t="n">
        <v>46234</v>
      </c>
      <c r="B49" t="inlineStr">
        <is>
          <t>71994-D-1</t>
        </is>
      </c>
      <c r="C49" t="inlineStr">
        <is>
          <t>Lavage</t>
        </is>
      </c>
      <c r="D49" s="4" t="n">
        <v>200</v>
      </c>
      <c r="E49" t="inlineStr">
        <is>
          <t>Lavage Express Agdal</t>
        </is>
      </c>
      <c r="F49" t="inlineStr">
        <is>
          <t>5 lavages</t>
        </is>
      </c>
    </row>
    <row r="50">
      <c r="A50" s="5" t="n">
        <v>46234</v>
      </c>
      <c r="B50" t="inlineStr">
        <is>
          <t>72769-D-1</t>
        </is>
      </c>
      <c r="C50" t="inlineStr">
        <is>
          <t>Lavage</t>
        </is>
      </c>
      <c r="D50" s="4" t="n">
        <v>80</v>
      </c>
      <c r="E50" t="inlineStr">
        <is>
          <t>Lavage Express Agdal</t>
        </is>
      </c>
      <c r="F50" t="inlineStr">
        <is>
          <t>2 lavages</t>
        </is>
      </c>
    </row>
    <row r="51">
      <c r="A51" s="5" t="n">
        <v>46234</v>
      </c>
      <c r="B51" t="inlineStr">
        <is>
          <t>74343-B-1</t>
        </is>
      </c>
      <c r="C51" t="inlineStr">
        <is>
          <t>Lavage</t>
        </is>
      </c>
      <c r="D51" s="4" t="n">
        <v>80</v>
      </c>
      <c r="E51" t="inlineStr">
        <is>
          <t>Lavage Express Agdal</t>
        </is>
      </c>
      <c r="F51" t="inlineStr">
        <is>
          <t>2 lavages</t>
        </is>
      </c>
    </row>
    <row r="52">
      <c r="A52" s="5" t="n">
        <v>46234</v>
      </c>
      <c r="B52" t="inlineStr">
        <is>
          <t>75329-D-1</t>
        </is>
      </c>
      <c r="C52" t="inlineStr">
        <is>
          <t>Lavage</t>
        </is>
      </c>
      <c r="D52" s="4" t="n">
        <v>160</v>
      </c>
      <c r="E52" t="inlineStr">
        <is>
          <t>Lavage Express Agdal</t>
        </is>
      </c>
      <c r="F52" t="inlineStr">
        <is>
          <t>4 lavages</t>
        </is>
      </c>
    </row>
    <row r="53">
      <c r="A53" s="5" t="n">
        <v>46234</v>
      </c>
      <c r="B53" t="inlineStr">
        <is>
          <t>76545-W-1</t>
        </is>
      </c>
      <c r="C53" t="inlineStr">
        <is>
          <t>Lavage</t>
        </is>
      </c>
      <c r="D53" s="4" t="n">
        <v>200</v>
      </c>
      <c r="E53" t="inlineStr">
        <is>
          <t>Lavage Express Agdal</t>
        </is>
      </c>
      <c r="F53" t="inlineStr">
        <is>
          <t>5 lavages</t>
        </is>
      </c>
    </row>
    <row r="54">
      <c r="A54" s="5" t="n">
        <v>46234</v>
      </c>
      <c r="B54" t="inlineStr">
        <is>
          <t>76897-B-1</t>
        </is>
      </c>
      <c r="C54" t="inlineStr">
        <is>
          <t>Lavage</t>
        </is>
      </c>
      <c r="D54" s="4" t="n">
        <v>200</v>
      </c>
      <c r="E54" t="inlineStr">
        <is>
          <t>Lavage Express Agdal</t>
        </is>
      </c>
      <c r="F54" t="inlineStr">
        <is>
          <t>5 lavages</t>
        </is>
      </c>
    </row>
    <row r="55">
      <c r="A55" s="5" t="n">
        <v>46234</v>
      </c>
      <c r="B55" t="inlineStr">
        <is>
          <t>77893-H-1</t>
        </is>
      </c>
      <c r="C55" t="inlineStr">
        <is>
          <t>Lavage</t>
        </is>
      </c>
      <c r="D55" s="4" t="n">
        <v>40</v>
      </c>
      <c r="E55" t="inlineStr">
        <is>
          <t>Lavage Express Agdal</t>
        </is>
      </c>
      <c r="F55" t="inlineStr">
        <is>
          <t>1 lavages</t>
        </is>
      </c>
    </row>
    <row r="56">
      <c r="A56" s="5" t="n">
        <v>46234</v>
      </c>
      <c r="B56" t="inlineStr">
        <is>
          <t>81442-B-1</t>
        </is>
      </c>
      <c r="C56" t="inlineStr">
        <is>
          <t>Lavage</t>
        </is>
      </c>
      <c r="D56" s="4" t="n">
        <v>240</v>
      </c>
      <c r="E56" t="inlineStr">
        <is>
          <t>Lavage Express Agdal</t>
        </is>
      </c>
      <c r="F56" t="inlineStr">
        <is>
          <t>6 lavages</t>
        </is>
      </c>
    </row>
    <row r="57">
      <c r="A57" s="5" t="n">
        <v>46234</v>
      </c>
      <c r="B57" t="inlineStr">
        <is>
          <t>83373-B-1</t>
        </is>
      </c>
      <c r="C57" t="inlineStr">
        <is>
          <t>Lavage</t>
        </is>
      </c>
      <c r="D57" s="4" t="n">
        <v>120</v>
      </c>
      <c r="E57" t="inlineStr">
        <is>
          <t>Lavage Express Agdal</t>
        </is>
      </c>
      <c r="F57" t="inlineStr">
        <is>
          <t>3 lavages</t>
        </is>
      </c>
    </row>
    <row r="58">
      <c r="A58" s="5" t="n">
        <v>46234</v>
      </c>
      <c r="B58" t="inlineStr">
        <is>
          <t>83662-D-1</t>
        </is>
      </c>
      <c r="C58" t="inlineStr">
        <is>
          <t>Lavage</t>
        </is>
      </c>
      <c r="D58" s="4" t="n">
        <v>80</v>
      </c>
      <c r="E58" t="inlineStr">
        <is>
          <t>Lavage Express Agdal</t>
        </is>
      </c>
      <c r="F58" t="inlineStr">
        <is>
          <t>2 lavages</t>
        </is>
      </c>
    </row>
    <row r="59">
      <c r="A59" s="5" t="n">
        <v>46234</v>
      </c>
      <c r="B59" t="inlineStr">
        <is>
          <t>84923-D-1</t>
        </is>
      </c>
      <c r="C59" t="inlineStr">
        <is>
          <t>Lavage</t>
        </is>
      </c>
      <c r="D59" s="4" t="n">
        <v>160</v>
      </c>
      <c r="E59" t="inlineStr">
        <is>
          <t>Lavage Express Agdal</t>
        </is>
      </c>
      <c r="F59" t="inlineStr">
        <is>
          <t>4 lavages</t>
        </is>
      </c>
    </row>
    <row r="60">
      <c r="A60" s="5" t="n">
        <v>46234</v>
      </c>
      <c r="B60" t="inlineStr">
        <is>
          <t>85272-B-1</t>
        </is>
      </c>
      <c r="C60" t="inlineStr">
        <is>
          <t>Lavage</t>
        </is>
      </c>
      <c r="D60" s="4" t="n">
        <v>200</v>
      </c>
      <c r="E60" t="inlineStr">
        <is>
          <t>Lavage Express Agdal</t>
        </is>
      </c>
      <c r="F60" t="inlineStr">
        <is>
          <t>5 lavages</t>
        </is>
      </c>
    </row>
    <row r="61">
      <c r="A61" s="5" t="n">
        <v>46234</v>
      </c>
      <c r="B61" t="inlineStr">
        <is>
          <t>85684-A-1</t>
        </is>
      </c>
      <c r="C61" t="inlineStr">
        <is>
          <t>Lavage</t>
        </is>
      </c>
      <c r="D61" s="4" t="n">
        <v>160</v>
      </c>
      <c r="E61" t="inlineStr">
        <is>
          <t>Lavage Express Agdal</t>
        </is>
      </c>
      <c r="F61" t="inlineStr">
        <is>
          <t>4 lavages</t>
        </is>
      </c>
    </row>
    <row r="62">
      <c r="A62" s="5" t="n">
        <v>46234</v>
      </c>
      <c r="B62" t="inlineStr">
        <is>
          <t>88664-D-1</t>
        </is>
      </c>
      <c r="C62" t="inlineStr">
        <is>
          <t>Lavage</t>
        </is>
      </c>
      <c r="D62" s="4" t="n">
        <v>240</v>
      </c>
      <c r="E62" t="inlineStr">
        <is>
          <t>Lavage Express Agdal</t>
        </is>
      </c>
      <c r="F62" t="inlineStr">
        <is>
          <t>6 lavages</t>
        </is>
      </c>
    </row>
    <row r="63">
      <c r="A63" s="5" t="n">
        <v>46234</v>
      </c>
      <c r="B63" t="inlineStr">
        <is>
          <t>88778-A-1</t>
        </is>
      </c>
      <c r="C63" t="inlineStr">
        <is>
          <t>Lavage</t>
        </is>
      </c>
      <c r="D63" s="4" t="n">
        <v>160</v>
      </c>
      <c r="E63" t="inlineStr">
        <is>
          <t>Lavage Express Agdal</t>
        </is>
      </c>
      <c r="F63" t="inlineStr">
        <is>
          <t>4 lavages</t>
        </is>
      </c>
    </row>
    <row r="64">
      <c r="A64" s="5" t="n">
        <v>46234</v>
      </c>
      <c r="B64" t="inlineStr">
        <is>
          <t>91567-W-1</t>
        </is>
      </c>
      <c r="C64" t="inlineStr">
        <is>
          <t>Lavage</t>
        </is>
      </c>
      <c r="D64" s="4" t="n">
        <v>80</v>
      </c>
      <c r="E64" t="inlineStr">
        <is>
          <t>Lavage Express Agdal</t>
        </is>
      </c>
      <c r="F64" t="inlineStr">
        <is>
          <t>2 lavages</t>
        </is>
      </c>
    </row>
    <row r="65">
      <c r="A65" s="5" t="n">
        <v>46234</v>
      </c>
      <c r="B65" t="inlineStr">
        <is>
          <t>91702-H-1</t>
        </is>
      </c>
      <c r="C65" t="inlineStr">
        <is>
          <t>Lavage</t>
        </is>
      </c>
      <c r="D65" s="4" t="n">
        <v>120</v>
      </c>
      <c r="E65" t="inlineStr">
        <is>
          <t>Lavage Express Agdal</t>
        </is>
      </c>
      <c r="F65" t="inlineStr">
        <is>
          <t>3 lavages</t>
        </is>
      </c>
    </row>
    <row r="66">
      <c r="A66" s="5" t="n">
        <v>46234</v>
      </c>
      <c r="B66" t="inlineStr">
        <is>
          <t>94626-B-1</t>
        </is>
      </c>
      <c r="C66" t="inlineStr">
        <is>
          <t>Lavage</t>
        </is>
      </c>
      <c r="D66" s="4" t="n">
        <v>80</v>
      </c>
      <c r="E66" t="inlineStr">
        <is>
          <t>Lavage Express Agdal</t>
        </is>
      </c>
      <c r="F66" t="inlineStr">
        <is>
          <t>2 lavages</t>
        </is>
      </c>
    </row>
    <row r="67">
      <c r="A67" s="5" t="n">
        <v>46234</v>
      </c>
      <c r="B67" t="inlineStr">
        <is>
          <t>95936-H-1</t>
        </is>
      </c>
      <c r="C67" t="inlineStr">
        <is>
          <t>Lavage</t>
        </is>
      </c>
      <c r="D67" s="4" t="n">
        <v>160</v>
      </c>
      <c r="E67" t="inlineStr">
        <is>
          <t>Lavage Express Agdal</t>
        </is>
      </c>
      <c r="F67" t="inlineStr">
        <is>
          <t>4 lavages</t>
        </is>
      </c>
    </row>
    <row r="68">
      <c r="A68" s="5" t="n">
        <v>46234</v>
      </c>
      <c r="B68" t="inlineStr">
        <is>
          <t>96667-D-1</t>
        </is>
      </c>
      <c r="C68" t="inlineStr">
        <is>
          <t>Lavage</t>
        </is>
      </c>
      <c r="D68" s="4" t="n">
        <v>280</v>
      </c>
      <c r="E68" t="inlineStr">
        <is>
          <t>Lavage Express Agdal</t>
        </is>
      </c>
      <c r="F68" t="inlineStr">
        <is>
          <t>7 lavages</t>
        </is>
      </c>
    </row>
    <row r="69">
      <c r="A69" s="5" t="n">
        <v>46234</v>
      </c>
      <c r="B69" t="inlineStr">
        <is>
          <t>97018-A-1</t>
        </is>
      </c>
      <c r="C69" t="inlineStr">
        <is>
          <t>Lavage</t>
        </is>
      </c>
      <c r="D69" s="4" t="n">
        <v>160</v>
      </c>
      <c r="E69" t="inlineStr">
        <is>
          <t>Lavage Express Agdal</t>
        </is>
      </c>
      <c r="F69" t="inlineStr">
        <is>
          <t>4 lavages</t>
        </is>
      </c>
    </row>
    <row r="70">
      <c r="A70" s="5" t="n">
        <v>46234</v>
      </c>
      <c r="B70" t="inlineStr">
        <is>
          <t>97618-A-1</t>
        </is>
      </c>
      <c r="C70" t="inlineStr">
        <is>
          <t>Lavage</t>
        </is>
      </c>
      <c r="D70" s="4" t="n">
        <v>160</v>
      </c>
      <c r="E70" t="inlineStr">
        <is>
          <t>Lavage Express Agdal</t>
        </is>
      </c>
      <c r="F70" t="inlineStr">
        <is>
          <t>4 lavages</t>
        </is>
      </c>
    </row>
    <row r="71">
      <c r="A71" s="5" t="n">
        <v>46235</v>
      </c>
      <c r="C71" t="inlineStr">
        <is>
          <t>Loyer</t>
        </is>
      </c>
      <c r="D71" s="4" t="n">
        <v>12000</v>
      </c>
      <c r="E71" t="inlineStr">
        <is>
          <t>SCI Agdal</t>
        </is>
      </c>
      <c r="F71" t="inlineStr">
        <is>
          <t>Agence Agdal</t>
        </is>
      </c>
    </row>
    <row r="72">
      <c r="A72" s="5" t="n">
        <v>46235</v>
      </c>
      <c r="C72" t="inlineStr">
        <is>
          <t>Loyer</t>
        </is>
      </c>
      <c r="D72" s="4" t="n">
        <v>7000</v>
      </c>
      <c r="E72" t="inlineStr">
        <is>
          <t>Particulier</t>
        </is>
      </c>
      <c r="F72" t="inlineStr">
        <is>
          <t>Point Hay Riad</t>
        </is>
      </c>
    </row>
    <row r="73">
      <c r="A73" s="5" t="n">
        <v>46235</v>
      </c>
      <c r="C73" t="inlineStr">
        <is>
          <t>Loyer</t>
        </is>
      </c>
      <c r="D73" s="4" t="n">
        <v>5000</v>
      </c>
      <c r="E73" t="inlineStr">
        <is>
          <t>ONDA</t>
        </is>
      </c>
      <c r="F73" t="inlineStr">
        <is>
          <t>Comptoir aéroport</t>
        </is>
      </c>
    </row>
    <row r="74">
      <c r="A74" s="5" t="n">
        <v>46237</v>
      </c>
      <c r="C74" t="inlineStr">
        <is>
          <t>Logiciel</t>
        </is>
      </c>
      <c r="D74" s="4" t="n">
        <v>400</v>
      </c>
      <c r="E74" t="inlineStr">
        <is>
          <t>Hébergement AutoFlow</t>
        </is>
      </c>
      <c r="F74" t="inlineStr">
        <is>
          <t>VPS + domaine</t>
        </is>
      </c>
    </row>
    <row r="75">
      <c r="A75" s="5" t="n">
        <v>46239</v>
      </c>
      <c r="B75" t="inlineStr">
        <is>
          <t>21066-H-1</t>
        </is>
      </c>
      <c r="C75" t="inlineStr">
        <is>
          <t>Leasing</t>
        </is>
      </c>
      <c r="D75" s="4" t="n">
        <v>3750</v>
      </c>
      <c r="E75" t="inlineStr">
        <is>
          <t>Wafasalaf LOA</t>
        </is>
      </c>
      <c r="F75" t="inlineStr">
        <is>
          <t>Échéance 08/2026</t>
        </is>
      </c>
    </row>
    <row r="76">
      <c r="A76" s="5" t="n">
        <v>46239</v>
      </c>
      <c r="B76" t="inlineStr">
        <is>
          <t>36193-W-1</t>
        </is>
      </c>
      <c r="C76" t="inlineStr">
        <is>
          <t>Leasing</t>
        </is>
      </c>
      <c r="D76" s="4" t="n">
        <v>3000</v>
      </c>
      <c r="E76" t="inlineStr">
        <is>
          <t>Wafasalaf LOA</t>
        </is>
      </c>
      <c r="F76" t="inlineStr">
        <is>
          <t>Échéance 08/2026</t>
        </is>
      </c>
    </row>
    <row r="77">
      <c r="A77" s="5" t="n">
        <v>46239</v>
      </c>
      <c r="B77" t="inlineStr">
        <is>
          <t>47649-D-1</t>
        </is>
      </c>
      <c r="C77" t="inlineStr">
        <is>
          <t>Leasing</t>
        </is>
      </c>
      <c r="D77" s="4" t="n">
        <v>1870</v>
      </c>
      <c r="E77" t="inlineStr">
        <is>
          <t>Wafasalaf LOA</t>
        </is>
      </c>
      <c r="F77" t="inlineStr">
        <is>
          <t>Échéance 08/2026</t>
        </is>
      </c>
    </row>
    <row r="78">
      <c r="A78" s="5" t="n">
        <v>46239</v>
      </c>
      <c r="B78" t="inlineStr">
        <is>
          <t>69221-A-1</t>
        </is>
      </c>
      <c r="C78" t="inlineStr">
        <is>
          <t>Leasing</t>
        </is>
      </c>
      <c r="D78" s="4" t="n">
        <v>8250</v>
      </c>
      <c r="E78" t="inlineStr">
        <is>
          <t>Wafasalaf LOA</t>
        </is>
      </c>
      <c r="F78" t="inlineStr">
        <is>
          <t>Échéance 08/2026</t>
        </is>
      </c>
    </row>
    <row r="79">
      <c r="A79" s="5" t="n">
        <v>46239</v>
      </c>
      <c r="B79" t="inlineStr">
        <is>
          <t>74343-B-1</t>
        </is>
      </c>
      <c r="C79" t="inlineStr">
        <is>
          <t>Leasing</t>
        </is>
      </c>
      <c r="D79" s="4" t="n">
        <v>1720</v>
      </c>
      <c r="E79" t="inlineStr">
        <is>
          <t>Wafasalaf LOA</t>
        </is>
      </c>
      <c r="F79" t="inlineStr">
        <is>
          <t>Échéance 08/2026</t>
        </is>
      </c>
    </row>
    <row r="80">
      <c r="A80" s="5" t="n">
        <v>46239</v>
      </c>
      <c r="B80" t="inlineStr">
        <is>
          <t>83373-B-1</t>
        </is>
      </c>
      <c r="C80" t="inlineStr">
        <is>
          <t>Leasing</t>
        </is>
      </c>
      <c r="D80" s="4" t="n">
        <v>2020</v>
      </c>
      <c r="E80" t="inlineStr">
        <is>
          <t>Wafasalaf LOA</t>
        </is>
      </c>
      <c r="F80" t="inlineStr">
        <is>
          <t>Échéance 08/2026</t>
        </is>
      </c>
    </row>
    <row r="81">
      <c r="A81" s="5" t="n">
        <v>46239</v>
      </c>
      <c r="B81" t="inlineStr">
        <is>
          <t>83662-D-1</t>
        </is>
      </c>
      <c r="C81" t="inlineStr">
        <is>
          <t>Leasing</t>
        </is>
      </c>
      <c r="D81" s="4" t="n">
        <v>2700</v>
      </c>
      <c r="E81" t="inlineStr">
        <is>
          <t>Wafasalaf LOA</t>
        </is>
      </c>
      <c r="F81" t="inlineStr">
        <is>
          <t>Échéance 08/2026</t>
        </is>
      </c>
    </row>
    <row r="82">
      <c r="A82" s="5" t="n">
        <v>46239</v>
      </c>
      <c r="B82" t="inlineStr">
        <is>
          <t>85272-B-1</t>
        </is>
      </c>
      <c r="C82" t="inlineStr">
        <is>
          <t>Leasing</t>
        </is>
      </c>
      <c r="D82" s="4" t="n">
        <v>3370</v>
      </c>
      <c r="E82" t="inlineStr">
        <is>
          <t>Wafasalaf LOA</t>
        </is>
      </c>
      <c r="F82" t="inlineStr">
        <is>
          <t>Échéance 08/2026</t>
        </is>
      </c>
    </row>
    <row r="83">
      <c r="A83" s="5" t="n">
        <v>46239</v>
      </c>
      <c r="B83" t="inlineStr">
        <is>
          <t>85684-A-1</t>
        </is>
      </c>
      <c r="C83" t="inlineStr">
        <is>
          <t>Vidange</t>
        </is>
      </c>
      <c r="D83" s="4" t="n">
        <v>700</v>
      </c>
      <c r="E83" t="inlineStr">
        <is>
          <t>Speedy Rabat</t>
        </is>
      </c>
      <c r="F83" t="inlineStr">
        <is>
          <t>Vidange + filtres</t>
        </is>
      </c>
    </row>
    <row r="84">
      <c r="A84" s="5" t="n">
        <v>46239</v>
      </c>
      <c r="B84" t="inlineStr">
        <is>
          <t>88664-D-1</t>
        </is>
      </c>
      <c r="C84" t="inlineStr">
        <is>
          <t>Leasing</t>
        </is>
      </c>
      <c r="D84" s="4" t="n">
        <v>2250</v>
      </c>
      <c r="E84" t="inlineStr">
        <is>
          <t>Wafasalaf LOA</t>
        </is>
      </c>
      <c r="F84" t="inlineStr">
        <is>
          <t>Échéance 08/2026</t>
        </is>
      </c>
    </row>
    <row r="85">
      <c r="A85" s="5" t="n">
        <v>46239</v>
      </c>
      <c r="B85" t="inlineStr">
        <is>
          <t>91702-H-1</t>
        </is>
      </c>
      <c r="C85" t="inlineStr">
        <is>
          <t>Leasing</t>
        </is>
      </c>
      <c r="D85" s="4" t="n">
        <v>6000</v>
      </c>
      <c r="E85" t="inlineStr">
        <is>
          <t>Wafasalaf LOA</t>
        </is>
      </c>
      <c r="F85" t="inlineStr">
        <is>
          <t>Échéance 08/2026</t>
        </is>
      </c>
    </row>
    <row r="86">
      <c r="A86" s="5" t="n">
        <v>46239</v>
      </c>
      <c r="B86" t="inlineStr">
        <is>
          <t>94626-B-1</t>
        </is>
      </c>
      <c r="C86" t="inlineStr">
        <is>
          <t>Leasing</t>
        </is>
      </c>
      <c r="D86" s="4" t="n">
        <v>6750</v>
      </c>
      <c r="E86" t="inlineStr">
        <is>
          <t>Wafasalaf LOA</t>
        </is>
      </c>
      <c r="F86" t="inlineStr">
        <is>
          <t>Échéance 08/2026</t>
        </is>
      </c>
    </row>
    <row r="87">
      <c r="A87" s="5" t="n">
        <v>46239</v>
      </c>
      <c r="B87" t="inlineStr">
        <is>
          <t>96667-D-1</t>
        </is>
      </c>
      <c r="C87" t="inlineStr">
        <is>
          <t>Leasing</t>
        </is>
      </c>
      <c r="D87" s="4" t="n">
        <v>6000</v>
      </c>
      <c r="E87" t="inlineStr">
        <is>
          <t>Wafasalaf LOA</t>
        </is>
      </c>
      <c r="F87" t="inlineStr">
        <is>
          <t>Échéance 08/2026</t>
        </is>
      </c>
    </row>
    <row r="88">
      <c r="A88" s="5" t="n">
        <v>46239</v>
      </c>
      <c r="B88" t="inlineStr">
        <is>
          <t>97618-A-1</t>
        </is>
      </c>
      <c r="C88" t="inlineStr">
        <is>
          <t>Leasing</t>
        </is>
      </c>
      <c r="D88" s="4" t="n">
        <v>3000</v>
      </c>
      <c r="E88" t="inlineStr">
        <is>
          <t>Wafasalaf LOA</t>
        </is>
      </c>
      <c r="F88" t="inlineStr">
        <is>
          <t>Échéance 08/2026</t>
        </is>
      </c>
    </row>
    <row r="89">
      <c r="A89" s="5" t="n">
        <v>46240</v>
      </c>
      <c r="B89" t="inlineStr">
        <is>
          <t>81442-B-1</t>
        </is>
      </c>
      <c r="C89" t="inlineStr">
        <is>
          <t>Vidange</t>
        </is>
      </c>
      <c r="D89" s="4" t="n">
        <v>700</v>
      </c>
      <c r="E89" t="inlineStr">
        <is>
          <t>Garage Atlas Agdal</t>
        </is>
      </c>
      <c r="F89" t="inlineStr">
        <is>
          <t>Vidange + filtres</t>
        </is>
      </c>
    </row>
    <row r="90">
      <c r="A90" s="5" t="n">
        <v>46242</v>
      </c>
      <c r="B90" t="inlineStr">
        <is>
          <t>47649-D-1</t>
        </is>
      </c>
      <c r="C90" t="inlineStr">
        <is>
          <t>Vidange</t>
        </is>
      </c>
      <c r="D90" s="4" t="n">
        <v>660</v>
      </c>
      <c r="E90" t="inlineStr">
        <is>
          <t>Norauto Rabat</t>
        </is>
      </c>
      <c r="F90" t="inlineStr">
        <is>
          <t>Vidange + filtres</t>
        </is>
      </c>
    </row>
    <row r="91">
      <c r="A91" s="5" t="n">
        <v>46243</v>
      </c>
      <c r="B91" t="inlineStr">
        <is>
          <t>77893-H-1</t>
        </is>
      </c>
      <c r="C91" t="inlineStr">
        <is>
          <t>Vidange</t>
        </is>
      </c>
      <c r="D91" s="4" t="n">
        <v>680</v>
      </c>
      <c r="E91" t="inlineStr">
        <is>
          <t>Garage Atlas Agdal</t>
        </is>
      </c>
      <c r="F91" t="inlineStr">
        <is>
          <t>Vidange + filtres</t>
        </is>
      </c>
    </row>
    <row r="92">
      <c r="A92" s="5" t="n">
        <v>46243</v>
      </c>
      <c r="B92" t="inlineStr">
        <is>
          <t>91702-H-1</t>
        </is>
      </c>
      <c r="C92" t="inlineStr">
        <is>
          <t>Vidange</t>
        </is>
      </c>
      <c r="D92" s="4" t="n">
        <v>560</v>
      </c>
      <c r="E92" t="inlineStr">
        <is>
          <t>Norauto Rabat</t>
        </is>
      </c>
      <c r="F92" t="inlineStr">
        <is>
          <t>Vidange + filtres</t>
        </is>
      </c>
    </row>
    <row r="93">
      <c r="A93" s="5" t="n">
        <v>46244</v>
      </c>
      <c r="B93" t="inlineStr">
        <is>
          <t>36193-W-1</t>
        </is>
      </c>
      <c r="C93" t="inlineStr">
        <is>
          <t>Vidange</t>
        </is>
      </c>
      <c r="D93" s="4" t="n">
        <v>470</v>
      </c>
      <c r="E93" t="inlineStr">
        <is>
          <t>Speedy Rabat</t>
        </is>
      </c>
      <c r="F93" t="inlineStr">
        <is>
          <t>Vidange + filtres</t>
        </is>
      </c>
    </row>
    <row r="94">
      <c r="A94" s="5" t="n">
        <v>46244</v>
      </c>
      <c r="B94" t="inlineStr">
        <is>
          <t>62268-B-1</t>
        </is>
      </c>
      <c r="C94" t="inlineStr">
        <is>
          <t>Vidange</t>
        </is>
      </c>
      <c r="D94" s="4" t="n">
        <v>690</v>
      </c>
      <c r="E94" t="inlineStr">
        <is>
          <t>Garage Atlas Agdal</t>
        </is>
      </c>
      <c r="F94" t="inlineStr">
        <is>
          <t>Vidange + filtres</t>
        </is>
      </c>
    </row>
    <row r="95">
      <c r="A95" s="5" t="n">
        <v>46244</v>
      </c>
      <c r="B95" t="inlineStr">
        <is>
          <t>76897-B-1</t>
        </is>
      </c>
      <c r="C95" t="inlineStr">
        <is>
          <t>Vidange</t>
        </is>
      </c>
      <c r="D95" s="4" t="n">
        <v>550</v>
      </c>
      <c r="E95" t="inlineStr">
        <is>
          <t>Garage Atlas Agdal</t>
        </is>
      </c>
      <c r="F95" t="inlineStr">
        <is>
          <t>Vidange + filtres</t>
        </is>
      </c>
    </row>
    <row r="96">
      <c r="A96" s="5" t="n">
        <v>46244</v>
      </c>
      <c r="B96" t="inlineStr">
        <is>
          <t>81442-B-1</t>
        </is>
      </c>
      <c r="C96" t="inlineStr">
        <is>
          <t>Réparation</t>
        </is>
      </c>
      <c r="D96" s="4" t="n">
        <v>4300</v>
      </c>
      <c r="E96" t="inlineStr">
        <is>
          <t>Speedy Rabat</t>
        </is>
      </c>
      <c r="F96" t="inlineStr">
        <is>
          <t>Embrayage</t>
        </is>
      </c>
    </row>
    <row r="97">
      <c r="A97" s="5" t="n">
        <v>46244</v>
      </c>
      <c r="B97" t="inlineStr">
        <is>
          <t>84923-D-1</t>
        </is>
      </c>
      <c r="C97" t="inlineStr">
        <is>
          <t>Vidange</t>
        </is>
      </c>
      <c r="D97" s="4" t="n">
        <v>550</v>
      </c>
      <c r="E97" t="inlineStr">
        <is>
          <t>Auto Service Hay Riad</t>
        </is>
      </c>
      <c r="F97" t="inlineStr">
        <is>
          <t>Vidange + filtres</t>
        </is>
      </c>
    </row>
    <row r="98">
      <c r="A98" s="5" t="n">
        <v>46245</v>
      </c>
      <c r="B98" t="inlineStr">
        <is>
          <t>69221-A-1</t>
        </is>
      </c>
      <c r="C98" t="inlineStr">
        <is>
          <t>Réparation</t>
        </is>
      </c>
      <c r="D98" s="4" t="n">
        <v>4500</v>
      </c>
      <c r="E98" t="inlineStr">
        <is>
          <t>Auto Service Hay Riad</t>
        </is>
      </c>
      <c r="F98" t="inlineStr">
        <is>
          <t>Freins</t>
        </is>
      </c>
    </row>
    <row r="99">
      <c r="A99" s="5" t="n">
        <v>46245</v>
      </c>
      <c r="B99" t="inlineStr">
        <is>
          <t>88664-D-1</t>
        </is>
      </c>
      <c r="C99" t="inlineStr">
        <is>
          <t>Vidange</t>
        </is>
      </c>
      <c r="D99" s="4" t="n">
        <v>670</v>
      </c>
      <c r="E99" t="inlineStr">
        <is>
          <t>Norauto Rabat</t>
        </is>
      </c>
      <c r="F99" t="inlineStr">
        <is>
          <t>Vidange + filtres</t>
        </is>
      </c>
    </row>
    <row r="100">
      <c r="A100" s="5" t="n">
        <v>46246</v>
      </c>
      <c r="C100" t="inlineStr">
        <is>
          <t>Électricité &amp; eau</t>
        </is>
      </c>
      <c r="D100" s="4" t="n">
        <v>1180</v>
      </c>
      <c r="E100" t="inlineStr">
        <is>
          <t>Redal</t>
        </is>
      </c>
      <c r="F100" t="inlineStr"/>
    </row>
    <row r="101">
      <c r="A101" s="5" t="n">
        <v>46246</v>
      </c>
      <c r="B101" t="inlineStr">
        <is>
          <t>22080-H-1</t>
        </is>
      </c>
      <c r="C101" t="inlineStr">
        <is>
          <t>Vidange</t>
        </is>
      </c>
      <c r="D101" s="4" t="n">
        <v>770</v>
      </c>
      <c r="E101" t="inlineStr">
        <is>
          <t>Norauto Rabat</t>
        </is>
      </c>
      <c r="F101" t="inlineStr">
        <is>
          <t>Vidange + filtres</t>
        </is>
      </c>
    </row>
    <row r="102">
      <c r="A102" s="5" t="n">
        <v>46246</v>
      </c>
      <c r="B102" t="inlineStr">
        <is>
          <t>25835-W-1</t>
        </is>
      </c>
      <c r="C102" t="inlineStr">
        <is>
          <t>Vidange</t>
        </is>
      </c>
      <c r="D102" s="4" t="n">
        <v>520</v>
      </c>
      <c r="E102" t="inlineStr">
        <is>
          <t>Speedy Rabat</t>
        </is>
      </c>
      <c r="F102" t="inlineStr">
        <is>
          <t>Vidange + filtres</t>
        </is>
      </c>
    </row>
    <row r="103">
      <c r="A103" s="5" t="n">
        <v>46246</v>
      </c>
      <c r="B103" t="inlineStr">
        <is>
          <t>35623-W-1</t>
        </is>
      </c>
      <c r="C103" t="inlineStr">
        <is>
          <t>Vidange</t>
        </is>
      </c>
      <c r="D103" s="4" t="n">
        <v>540</v>
      </c>
      <c r="E103" t="inlineStr">
        <is>
          <t>Auto Service Hay Riad</t>
        </is>
      </c>
      <c r="F103" t="inlineStr">
        <is>
          <t>Vidange + filtres</t>
        </is>
      </c>
    </row>
    <row r="104">
      <c r="A104" s="5" t="n">
        <v>46246</v>
      </c>
      <c r="B104" t="inlineStr">
        <is>
          <t>62064-H-1</t>
        </is>
      </c>
      <c r="C104" t="inlineStr">
        <is>
          <t>Vidange</t>
        </is>
      </c>
      <c r="D104" s="4" t="n">
        <v>450</v>
      </c>
      <c r="E104" t="inlineStr">
        <is>
          <t>Auto Service Hay Riad</t>
        </is>
      </c>
      <c r="F104" t="inlineStr">
        <is>
          <t>Vidange + filtres</t>
        </is>
      </c>
    </row>
    <row r="105">
      <c r="A105" s="5" t="n">
        <v>46246</v>
      </c>
      <c r="B105" t="inlineStr">
        <is>
          <t>85272-B-1</t>
        </is>
      </c>
      <c r="C105" t="inlineStr">
        <is>
          <t>Réparation</t>
        </is>
      </c>
      <c r="D105" s="4" t="n">
        <v>2200</v>
      </c>
      <c r="E105" t="inlineStr">
        <is>
          <t>Auto Service Hay Riad</t>
        </is>
      </c>
      <c r="F105" t="inlineStr">
        <is>
          <t>Embrayage</t>
        </is>
      </c>
    </row>
    <row r="106">
      <c r="A106" s="5" t="n">
        <v>46246</v>
      </c>
      <c r="B106" t="inlineStr">
        <is>
          <t>91567-W-1</t>
        </is>
      </c>
      <c r="C106" t="inlineStr">
        <is>
          <t>Vidange</t>
        </is>
      </c>
      <c r="D106" s="4" t="n">
        <v>520</v>
      </c>
      <c r="E106" t="inlineStr">
        <is>
          <t>Speedy Rabat</t>
        </is>
      </c>
      <c r="F106" t="inlineStr">
        <is>
          <t>Vidange + filtres</t>
        </is>
      </c>
    </row>
    <row r="107">
      <c r="A107" s="5" t="n">
        <v>46246</v>
      </c>
      <c r="B107" t="inlineStr">
        <is>
          <t>97618-A-1</t>
        </is>
      </c>
      <c r="C107" t="inlineStr">
        <is>
          <t>Carburant</t>
        </is>
      </c>
      <c r="D107" s="4" t="n">
        <v>800</v>
      </c>
      <c r="E107" t="inlineStr">
        <is>
          <t>Afriquia</t>
        </is>
      </c>
      <c r="F107" t="inlineStr">
        <is>
          <t>Plein avant livraison aéroport</t>
        </is>
      </c>
    </row>
    <row r="108">
      <c r="A108" s="5" t="n">
        <v>46249</v>
      </c>
      <c r="C108" t="inlineStr">
        <is>
          <t>Internet &amp; téléphone</t>
        </is>
      </c>
      <c r="D108" s="4" t="n">
        <v>780</v>
      </c>
      <c r="E108" t="inlineStr">
        <is>
          <t>Maroc Telecom</t>
        </is>
      </c>
      <c r="F108" t="inlineStr">
        <is>
          <t>Fibre + 4 lignes</t>
        </is>
      </c>
    </row>
    <row r="109">
      <c r="A109" s="5" t="n">
        <v>46252</v>
      </c>
      <c r="B109" t="inlineStr">
        <is>
          <t>85272-B-1</t>
        </is>
      </c>
      <c r="C109" t="inlineStr">
        <is>
          <t>Vidange</t>
        </is>
      </c>
      <c r="D109" s="4" t="n">
        <v>610</v>
      </c>
      <c r="E109" t="inlineStr">
        <is>
          <t>Norauto Rabat</t>
        </is>
      </c>
      <c r="F109" t="inlineStr">
        <is>
          <t>Vidange + filtres</t>
        </is>
      </c>
    </row>
    <row r="110">
      <c r="A110" s="5" t="n">
        <v>46253</v>
      </c>
      <c r="B110" t="inlineStr">
        <is>
          <t>84923-D-1</t>
        </is>
      </c>
      <c r="C110" t="inlineStr">
        <is>
          <t>Carburant</t>
        </is>
      </c>
      <c r="D110" s="4" t="n">
        <v>300</v>
      </c>
      <c r="E110" t="inlineStr">
        <is>
          <t>Afriquia</t>
        </is>
      </c>
      <c r="F110" t="inlineStr">
        <is>
          <t>Plein avant livraison aéroport</t>
        </is>
      </c>
    </row>
    <row r="111">
      <c r="A111" s="5" t="n">
        <v>46254</v>
      </c>
      <c r="C111" t="inlineStr">
        <is>
          <t>Marketing</t>
        </is>
      </c>
      <c r="D111" s="4" t="n">
        <v>6000</v>
      </c>
      <c r="E111" t="inlineStr">
        <is>
          <t>Meta Ads / Google Ads</t>
        </is>
      </c>
      <c r="F111" t="inlineStr">
        <is>
          <t>Campagne été</t>
        </is>
      </c>
    </row>
    <row r="112">
      <c r="A112" s="5" t="n">
        <v>46254</v>
      </c>
      <c r="B112" t="inlineStr">
        <is>
          <t>21066-H-1</t>
        </is>
      </c>
      <c r="C112" t="inlineStr">
        <is>
          <t>Vidange</t>
        </is>
      </c>
      <c r="D112" s="4" t="n">
        <v>520</v>
      </c>
      <c r="E112" t="inlineStr">
        <is>
          <t>Garage Atlas Agdal</t>
        </is>
      </c>
      <c r="F112" t="inlineStr">
        <is>
          <t>Vidange + filtres</t>
        </is>
      </c>
    </row>
    <row r="113">
      <c r="A113" s="5" t="n">
        <v>46254</v>
      </c>
      <c r="B113" t="inlineStr">
        <is>
          <t>71302-W-1</t>
        </is>
      </c>
      <c r="C113" t="inlineStr">
        <is>
          <t>Vidange</t>
        </is>
      </c>
      <c r="D113" s="4" t="n">
        <v>780</v>
      </c>
      <c r="E113" t="inlineStr">
        <is>
          <t>Pneus Plus Témara</t>
        </is>
      </c>
      <c r="F113" t="inlineStr">
        <is>
          <t>Vidange + filtres</t>
        </is>
      </c>
    </row>
    <row r="114">
      <c r="A114" s="5" t="n">
        <v>46255</v>
      </c>
      <c r="B114" t="inlineStr">
        <is>
          <t>33992-B-1</t>
        </is>
      </c>
      <c r="C114" t="inlineStr">
        <is>
          <t>Vidange</t>
        </is>
      </c>
      <c r="D114" s="4" t="n">
        <v>790</v>
      </c>
      <c r="E114" t="inlineStr">
        <is>
          <t>Norauto Rabat</t>
        </is>
      </c>
      <c r="F114" t="inlineStr">
        <is>
          <t>Vidange + filtres</t>
        </is>
      </c>
    </row>
    <row r="115">
      <c r="A115" s="5" t="n">
        <v>46256</v>
      </c>
      <c r="B115" t="inlineStr">
        <is>
          <t>74343-B-1</t>
        </is>
      </c>
      <c r="C115" t="inlineStr">
        <is>
          <t>Vidange</t>
        </is>
      </c>
      <c r="D115" s="4" t="n">
        <v>570</v>
      </c>
      <c r="E115" t="inlineStr">
        <is>
          <t>Garage Atlas Agdal</t>
        </is>
      </c>
      <c r="F115" t="inlineStr">
        <is>
          <t>Vidange + filtres</t>
        </is>
      </c>
    </row>
    <row r="116">
      <c r="A116" s="5" t="n">
        <v>46257</v>
      </c>
      <c r="B116" t="inlineStr">
        <is>
          <t>54616-W-1</t>
        </is>
      </c>
      <c r="C116" t="inlineStr">
        <is>
          <t>Vidange</t>
        </is>
      </c>
      <c r="D116" s="4" t="n">
        <v>570</v>
      </c>
      <c r="E116" t="inlineStr">
        <is>
          <t>Garage Atlas Agdal</t>
        </is>
      </c>
      <c r="F116" t="inlineStr">
        <is>
          <t>Vidange + filtres</t>
        </is>
      </c>
    </row>
    <row r="117">
      <c r="A117" s="5" t="n">
        <v>46258</v>
      </c>
      <c r="B117" t="inlineStr">
        <is>
          <t>49965-H-1</t>
        </is>
      </c>
      <c r="C117" t="inlineStr">
        <is>
          <t>Vidange</t>
        </is>
      </c>
      <c r="D117" s="4" t="n">
        <v>770</v>
      </c>
      <c r="E117" t="inlineStr">
        <is>
          <t>Norauto Rabat</t>
        </is>
      </c>
      <c r="F117" t="inlineStr">
        <is>
          <t>Vidange + filtres</t>
        </is>
      </c>
    </row>
    <row r="118">
      <c r="A118" s="5" t="n">
        <v>46258</v>
      </c>
      <c r="B118" t="inlineStr">
        <is>
          <t>97618-A-1</t>
        </is>
      </c>
      <c r="C118" t="inlineStr">
        <is>
          <t>Vidange</t>
        </is>
      </c>
      <c r="D118" s="4" t="n">
        <v>530</v>
      </c>
      <c r="E118" t="inlineStr">
        <is>
          <t>Pneus Plus Témara</t>
        </is>
      </c>
      <c r="F118" t="inlineStr">
        <is>
          <t>Vidange + filtres</t>
        </is>
      </c>
    </row>
    <row r="119">
      <c r="A119" s="5" t="n">
        <v>46259</v>
      </c>
      <c r="C119" t="inlineStr">
        <is>
          <t>Comptabilité</t>
        </is>
      </c>
      <c r="D119" s="4" t="n">
        <v>2500</v>
      </c>
      <c r="E119" t="inlineStr">
        <is>
          <t>Cabinet Fiduciaire</t>
        </is>
      </c>
      <c r="F119" t="inlineStr"/>
    </row>
    <row r="120">
      <c r="A120" s="5" t="n">
        <v>46262</v>
      </c>
      <c r="C120" t="inlineStr">
        <is>
          <t>Salaires</t>
        </is>
      </c>
      <c r="D120" s="4" t="n">
        <v>40000</v>
      </c>
      <c r="E120" t="inlineStr">
        <is>
          <t>Personnel</t>
        </is>
      </c>
      <c r="F120" t="inlineStr">
        <is>
          <t>4 agents + renfort été</t>
        </is>
      </c>
    </row>
    <row r="121">
      <c r="A121" s="5" t="n">
        <v>46265</v>
      </c>
      <c r="B121" t="inlineStr">
        <is>
          <t>21066-H-1</t>
        </is>
      </c>
      <c r="C121" t="inlineStr">
        <is>
          <t>Lavage</t>
        </is>
      </c>
      <c r="D121" s="4" t="n">
        <v>160</v>
      </c>
      <c r="E121" t="inlineStr">
        <is>
          <t>Lavage Express Agdal</t>
        </is>
      </c>
      <c r="F121" t="inlineStr">
        <is>
          <t>4 lavages</t>
        </is>
      </c>
    </row>
    <row r="122">
      <c r="A122" s="5" t="n">
        <v>46265</v>
      </c>
      <c r="B122" t="inlineStr">
        <is>
          <t>22080-H-1</t>
        </is>
      </c>
      <c r="C122" t="inlineStr">
        <is>
          <t>Lavage</t>
        </is>
      </c>
      <c r="D122" s="4" t="n">
        <v>160</v>
      </c>
      <c r="E122" t="inlineStr">
        <is>
          <t>Lavage Express Agdal</t>
        </is>
      </c>
      <c r="F122" t="inlineStr">
        <is>
          <t>4 lavages</t>
        </is>
      </c>
    </row>
    <row r="123">
      <c r="A123" s="5" t="n">
        <v>46265</v>
      </c>
      <c r="B123" t="inlineStr">
        <is>
          <t>22394-A-1</t>
        </is>
      </c>
      <c r="C123" t="inlineStr">
        <is>
          <t>Lavage</t>
        </is>
      </c>
      <c r="D123" s="4" t="n">
        <v>160</v>
      </c>
      <c r="E123" t="inlineStr">
        <is>
          <t>Lavage Express Agdal</t>
        </is>
      </c>
      <c r="F123" t="inlineStr">
        <is>
          <t>4 lavages</t>
        </is>
      </c>
    </row>
    <row r="124">
      <c r="A124" s="5" t="n">
        <v>46265</v>
      </c>
      <c r="B124" t="inlineStr">
        <is>
          <t>25835-W-1</t>
        </is>
      </c>
      <c r="C124" t="inlineStr">
        <is>
          <t>Lavage</t>
        </is>
      </c>
      <c r="D124" s="4" t="n">
        <v>200</v>
      </c>
      <c r="E124" t="inlineStr">
        <is>
          <t>Lavage Express Agdal</t>
        </is>
      </c>
      <c r="F124" t="inlineStr">
        <is>
          <t>5 lavages</t>
        </is>
      </c>
    </row>
    <row r="125">
      <c r="A125" s="5" t="n">
        <v>46265</v>
      </c>
      <c r="B125" t="inlineStr">
        <is>
          <t>33992-B-1</t>
        </is>
      </c>
      <c r="C125" t="inlineStr">
        <is>
          <t>Lavage</t>
        </is>
      </c>
      <c r="D125" s="4" t="n">
        <v>200</v>
      </c>
      <c r="E125" t="inlineStr">
        <is>
          <t>Lavage Express Agdal</t>
        </is>
      </c>
      <c r="F125" t="inlineStr">
        <is>
          <t>5 lavages</t>
        </is>
      </c>
    </row>
    <row r="126">
      <c r="A126" s="5" t="n">
        <v>46265</v>
      </c>
      <c r="B126" t="inlineStr">
        <is>
          <t>35623-W-1</t>
        </is>
      </c>
      <c r="C126" t="inlineStr">
        <is>
          <t>Lavage</t>
        </is>
      </c>
      <c r="D126" s="4" t="n">
        <v>120</v>
      </c>
      <c r="E126" t="inlineStr">
        <is>
          <t>Lavage Express Agdal</t>
        </is>
      </c>
      <c r="F126" t="inlineStr">
        <is>
          <t>3 lavages</t>
        </is>
      </c>
    </row>
    <row r="127">
      <c r="A127" s="5" t="n">
        <v>46265</v>
      </c>
      <c r="B127" t="inlineStr">
        <is>
          <t>36193-W-1</t>
        </is>
      </c>
      <c r="C127" t="inlineStr">
        <is>
          <t>Lavage</t>
        </is>
      </c>
      <c r="D127" s="4" t="n">
        <v>160</v>
      </c>
      <c r="E127" t="inlineStr">
        <is>
          <t>Lavage Express Agdal</t>
        </is>
      </c>
      <c r="F127" t="inlineStr">
        <is>
          <t>4 lavages</t>
        </is>
      </c>
    </row>
    <row r="128">
      <c r="A128" s="5" t="n">
        <v>46265</v>
      </c>
      <c r="B128" t="inlineStr">
        <is>
          <t>47649-D-1</t>
        </is>
      </c>
      <c r="C128" t="inlineStr">
        <is>
          <t>Lavage</t>
        </is>
      </c>
      <c r="D128" s="4" t="n">
        <v>200</v>
      </c>
      <c r="E128" t="inlineStr">
        <is>
          <t>Lavage Express Agdal</t>
        </is>
      </c>
      <c r="F128" t="inlineStr">
        <is>
          <t>5 lavages</t>
        </is>
      </c>
    </row>
    <row r="129">
      <c r="A129" s="5" t="n">
        <v>46265</v>
      </c>
      <c r="B129" t="inlineStr">
        <is>
          <t>49965-H-1</t>
        </is>
      </c>
      <c r="C129" t="inlineStr">
        <is>
          <t>Lavage</t>
        </is>
      </c>
      <c r="D129" s="4" t="n">
        <v>240</v>
      </c>
      <c r="E129" t="inlineStr">
        <is>
          <t>Lavage Express Agdal</t>
        </is>
      </c>
      <c r="F129" t="inlineStr">
        <is>
          <t>6 lavages</t>
        </is>
      </c>
    </row>
    <row r="130">
      <c r="A130" s="5" t="n">
        <v>46265</v>
      </c>
      <c r="B130" t="inlineStr">
        <is>
          <t>54616-W-1</t>
        </is>
      </c>
      <c r="C130" t="inlineStr">
        <is>
          <t>Lavage</t>
        </is>
      </c>
      <c r="D130" s="4" t="n">
        <v>160</v>
      </c>
      <c r="E130" t="inlineStr">
        <is>
          <t>Lavage Express Agdal</t>
        </is>
      </c>
      <c r="F130" t="inlineStr">
        <is>
          <t>4 lavages</t>
        </is>
      </c>
    </row>
    <row r="131">
      <c r="A131" s="5" t="n">
        <v>46265</v>
      </c>
      <c r="B131" t="inlineStr">
        <is>
          <t>62064-H-1</t>
        </is>
      </c>
      <c r="C131" t="inlineStr">
        <is>
          <t>Lavage</t>
        </is>
      </c>
      <c r="D131" s="4" t="n">
        <v>80</v>
      </c>
      <c r="E131" t="inlineStr">
        <is>
          <t>Lavage Express Agdal</t>
        </is>
      </c>
      <c r="F131" t="inlineStr">
        <is>
          <t>2 lavages</t>
        </is>
      </c>
    </row>
    <row r="132">
      <c r="A132" s="5" t="n">
        <v>46265</v>
      </c>
      <c r="B132" t="inlineStr">
        <is>
          <t>62268-B-1</t>
        </is>
      </c>
      <c r="C132" t="inlineStr">
        <is>
          <t>Lavage</t>
        </is>
      </c>
      <c r="D132" s="4" t="n">
        <v>200</v>
      </c>
      <c r="E132" t="inlineStr">
        <is>
          <t>Lavage Express Agdal</t>
        </is>
      </c>
      <c r="F132" t="inlineStr">
        <is>
          <t>5 lavages</t>
        </is>
      </c>
    </row>
    <row r="133">
      <c r="A133" s="5" t="n">
        <v>46265</v>
      </c>
      <c r="B133" t="inlineStr">
        <is>
          <t>69221-A-1</t>
        </is>
      </c>
      <c r="C133" t="inlineStr">
        <is>
          <t>Lavage</t>
        </is>
      </c>
      <c r="D133" s="4" t="n">
        <v>240</v>
      </c>
      <c r="E133" t="inlineStr">
        <is>
          <t>Lavage Express Agdal</t>
        </is>
      </c>
      <c r="F133" t="inlineStr">
        <is>
          <t>6 lavages</t>
        </is>
      </c>
    </row>
    <row r="134">
      <c r="A134" s="5" t="n">
        <v>46265</v>
      </c>
      <c r="B134" t="inlineStr">
        <is>
          <t>69873-A-1</t>
        </is>
      </c>
      <c r="C134" t="inlineStr">
        <is>
          <t>Lavage</t>
        </is>
      </c>
      <c r="D134" s="4" t="n">
        <v>120</v>
      </c>
      <c r="E134" t="inlineStr">
        <is>
          <t>Lavage Express Agdal</t>
        </is>
      </c>
      <c r="F134" t="inlineStr">
        <is>
          <t>3 lavages</t>
        </is>
      </c>
    </row>
    <row r="135">
      <c r="A135" s="5" t="n">
        <v>46265</v>
      </c>
      <c r="B135" t="inlineStr">
        <is>
          <t>71302-W-1</t>
        </is>
      </c>
      <c r="C135" t="inlineStr">
        <is>
          <t>Lavage</t>
        </is>
      </c>
      <c r="D135" s="4" t="n">
        <v>120</v>
      </c>
      <c r="E135" t="inlineStr">
        <is>
          <t>Lavage Express Agdal</t>
        </is>
      </c>
      <c r="F135" t="inlineStr">
        <is>
          <t>3 lavages</t>
        </is>
      </c>
    </row>
    <row r="136">
      <c r="A136" s="5" t="n">
        <v>46265</v>
      </c>
      <c r="B136" t="inlineStr">
        <is>
          <t>71994-D-1</t>
        </is>
      </c>
      <c r="C136" t="inlineStr">
        <is>
          <t>Lavage</t>
        </is>
      </c>
      <c r="D136" s="4" t="n">
        <v>160</v>
      </c>
      <c r="E136" t="inlineStr">
        <is>
          <t>Lavage Express Agdal</t>
        </is>
      </c>
      <c r="F136" t="inlineStr">
        <is>
          <t>4 lavages</t>
        </is>
      </c>
    </row>
    <row r="137">
      <c r="A137" s="5" t="n">
        <v>46265</v>
      </c>
      <c r="B137" t="inlineStr">
        <is>
          <t>72769-D-1</t>
        </is>
      </c>
      <c r="C137" t="inlineStr">
        <is>
          <t>Lavage</t>
        </is>
      </c>
      <c r="D137" s="4" t="n">
        <v>160</v>
      </c>
      <c r="E137" t="inlineStr">
        <is>
          <t>Lavage Express Agdal</t>
        </is>
      </c>
      <c r="F137" t="inlineStr">
        <is>
          <t>4 lavages</t>
        </is>
      </c>
    </row>
    <row r="138">
      <c r="A138" s="5" t="n">
        <v>46265</v>
      </c>
      <c r="B138" t="inlineStr">
        <is>
          <t>74343-B-1</t>
        </is>
      </c>
      <c r="C138" t="inlineStr">
        <is>
          <t>Lavage</t>
        </is>
      </c>
      <c r="D138" s="4" t="n">
        <v>240</v>
      </c>
      <c r="E138" t="inlineStr">
        <is>
          <t>Lavage Express Agdal</t>
        </is>
      </c>
      <c r="F138" t="inlineStr">
        <is>
          <t>6 lavages</t>
        </is>
      </c>
    </row>
    <row r="139">
      <c r="A139" s="5" t="n">
        <v>46265</v>
      </c>
      <c r="B139" t="inlineStr">
        <is>
          <t>75329-D-1</t>
        </is>
      </c>
      <c r="C139" t="inlineStr">
        <is>
          <t>Lavage</t>
        </is>
      </c>
      <c r="D139" s="4" t="n">
        <v>200</v>
      </c>
      <c r="E139" t="inlineStr">
        <is>
          <t>Lavage Express Agdal</t>
        </is>
      </c>
      <c r="F139" t="inlineStr">
        <is>
          <t>5 lavages</t>
        </is>
      </c>
    </row>
    <row r="140">
      <c r="A140" s="5" t="n">
        <v>46265</v>
      </c>
      <c r="B140" t="inlineStr">
        <is>
          <t>76545-W-1</t>
        </is>
      </c>
      <c r="C140" t="inlineStr">
        <is>
          <t>Lavage</t>
        </is>
      </c>
      <c r="D140" s="4" t="n">
        <v>80</v>
      </c>
      <c r="E140" t="inlineStr">
        <is>
          <t>Lavage Express Agdal</t>
        </is>
      </c>
      <c r="F140" t="inlineStr">
        <is>
          <t>2 lavages</t>
        </is>
      </c>
    </row>
    <row r="141">
      <c r="A141" s="5" t="n">
        <v>46265</v>
      </c>
      <c r="B141" t="inlineStr">
        <is>
          <t>76897-B-1</t>
        </is>
      </c>
      <c r="C141" t="inlineStr">
        <is>
          <t>Lavage</t>
        </is>
      </c>
      <c r="D141" s="4" t="n">
        <v>80</v>
      </c>
      <c r="E141" t="inlineStr">
        <is>
          <t>Lavage Express Agdal</t>
        </is>
      </c>
      <c r="F141" t="inlineStr">
        <is>
          <t>2 lavages</t>
        </is>
      </c>
    </row>
    <row r="142">
      <c r="A142" s="5" t="n">
        <v>46265</v>
      </c>
      <c r="B142" t="inlineStr">
        <is>
          <t>77893-H-1</t>
        </is>
      </c>
      <c r="C142" t="inlineStr">
        <is>
          <t>Lavage</t>
        </is>
      </c>
      <c r="D142" s="4" t="n">
        <v>200</v>
      </c>
      <c r="E142" t="inlineStr">
        <is>
          <t>Lavage Express Agdal</t>
        </is>
      </c>
      <c r="F142" t="inlineStr">
        <is>
          <t>5 lavages</t>
        </is>
      </c>
    </row>
    <row r="143">
      <c r="A143" s="5" t="n">
        <v>46265</v>
      </c>
      <c r="B143" t="inlineStr">
        <is>
          <t>81442-B-1</t>
        </is>
      </c>
      <c r="C143" t="inlineStr">
        <is>
          <t>Lavage</t>
        </is>
      </c>
      <c r="D143" s="4" t="n">
        <v>160</v>
      </c>
      <c r="E143" t="inlineStr">
        <is>
          <t>Lavage Express Agdal</t>
        </is>
      </c>
      <c r="F143" t="inlineStr">
        <is>
          <t>4 lavages</t>
        </is>
      </c>
    </row>
    <row r="144">
      <c r="A144" s="5" t="n">
        <v>46265</v>
      </c>
      <c r="B144" t="inlineStr">
        <is>
          <t>83373-B-1</t>
        </is>
      </c>
      <c r="C144" t="inlineStr">
        <is>
          <t>Lavage</t>
        </is>
      </c>
      <c r="D144" s="4" t="n">
        <v>80</v>
      </c>
      <c r="E144" t="inlineStr">
        <is>
          <t>Lavage Express Agdal</t>
        </is>
      </c>
      <c r="F144" t="inlineStr">
        <is>
          <t>2 lavages</t>
        </is>
      </c>
    </row>
    <row r="145">
      <c r="A145" s="5" t="n">
        <v>46265</v>
      </c>
      <c r="B145" t="inlineStr">
        <is>
          <t>83662-D-1</t>
        </is>
      </c>
      <c r="C145" t="inlineStr">
        <is>
          <t>Lavage</t>
        </is>
      </c>
      <c r="D145" s="4" t="n">
        <v>120</v>
      </c>
      <c r="E145" t="inlineStr">
        <is>
          <t>Lavage Express Agdal</t>
        </is>
      </c>
      <c r="F145" t="inlineStr">
        <is>
          <t>3 lavages</t>
        </is>
      </c>
    </row>
    <row r="146">
      <c r="A146" s="5" t="n">
        <v>46265</v>
      </c>
      <c r="B146" t="inlineStr">
        <is>
          <t>84923-D-1</t>
        </is>
      </c>
      <c r="C146" t="inlineStr">
        <is>
          <t>Lavage</t>
        </is>
      </c>
      <c r="D146" s="4" t="n">
        <v>120</v>
      </c>
      <c r="E146" t="inlineStr">
        <is>
          <t>Lavage Express Agdal</t>
        </is>
      </c>
      <c r="F146" t="inlineStr">
        <is>
          <t>3 lavages</t>
        </is>
      </c>
    </row>
    <row r="147">
      <c r="A147" s="5" t="n">
        <v>46265</v>
      </c>
      <c r="B147" t="inlineStr">
        <is>
          <t>85272-B-1</t>
        </is>
      </c>
      <c r="C147" t="inlineStr">
        <is>
          <t>Lavage</t>
        </is>
      </c>
      <c r="D147" s="4" t="n">
        <v>160</v>
      </c>
      <c r="E147" t="inlineStr">
        <is>
          <t>Lavage Express Agdal</t>
        </is>
      </c>
      <c r="F147" t="inlineStr">
        <is>
          <t>4 lavages</t>
        </is>
      </c>
    </row>
    <row r="148">
      <c r="A148" s="5" t="n">
        <v>46265</v>
      </c>
      <c r="B148" t="inlineStr">
        <is>
          <t>85684-A-1</t>
        </is>
      </c>
      <c r="C148" t="inlineStr">
        <is>
          <t>Lavage</t>
        </is>
      </c>
      <c r="D148" s="4" t="n">
        <v>200</v>
      </c>
      <c r="E148" t="inlineStr">
        <is>
          <t>Lavage Express Agdal</t>
        </is>
      </c>
      <c r="F148" t="inlineStr">
        <is>
          <t>5 lavages</t>
        </is>
      </c>
    </row>
    <row r="149">
      <c r="A149" s="5" t="n">
        <v>46265</v>
      </c>
      <c r="B149" t="inlineStr">
        <is>
          <t>88664-D-1</t>
        </is>
      </c>
      <c r="C149" t="inlineStr">
        <is>
          <t>Lavage</t>
        </is>
      </c>
      <c r="D149" s="4" t="n">
        <v>120</v>
      </c>
      <c r="E149" t="inlineStr">
        <is>
          <t>Lavage Express Agdal</t>
        </is>
      </c>
      <c r="F149" t="inlineStr">
        <is>
          <t>3 lavages</t>
        </is>
      </c>
    </row>
    <row r="150">
      <c r="A150" s="5" t="n">
        <v>46265</v>
      </c>
      <c r="B150" t="inlineStr">
        <is>
          <t>88778-A-1</t>
        </is>
      </c>
      <c r="C150" t="inlineStr">
        <is>
          <t>Lavage</t>
        </is>
      </c>
      <c r="D150" s="4" t="n">
        <v>40</v>
      </c>
      <c r="E150" t="inlineStr">
        <is>
          <t>Lavage Express Agdal</t>
        </is>
      </c>
      <c r="F150" t="inlineStr">
        <is>
          <t>1 lavages</t>
        </is>
      </c>
    </row>
    <row r="151">
      <c r="A151" s="5" t="n">
        <v>46265</v>
      </c>
      <c r="B151" t="inlineStr">
        <is>
          <t>91567-W-1</t>
        </is>
      </c>
      <c r="C151" t="inlineStr">
        <is>
          <t>Lavage</t>
        </is>
      </c>
      <c r="D151" s="4" t="n">
        <v>200</v>
      </c>
      <c r="E151" t="inlineStr">
        <is>
          <t>Lavage Express Agdal</t>
        </is>
      </c>
      <c r="F151" t="inlineStr">
        <is>
          <t>5 lavages</t>
        </is>
      </c>
    </row>
    <row r="152">
      <c r="A152" s="5" t="n">
        <v>46265</v>
      </c>
      <c r="B152" t="inlineStr">
        <is>
          <t>91702-H-1</t>
        </is>
      </c>
      <c r="C152" t="inlineStr">
        <is>
          <t>Lavage</t>
        </is>
      </c>
      <c r="D152" s="4" t="n">
        <v>200</v>
      </c>
      <c r="E152" t="inlineStr">
        <is>
          <t>Lavage Express Agdal</t>
        </is>
      </c>
      <c r="F152" t="inlineStr">
        <is>
          <t>5 lavages</t>
        </is>
      </c>
    </row>
    <row r="153">
      <c r="A153" s="5" t="n">
        <v>46265</v>
      </c>
      <c r="B153" t="inlineStr">
        <is>
          <t>94626-B-1</t>
        </is>
      </c>
      <c r="C153" t="inlineStr">
        <is>
          <t>Lavage</t>
        </is>
      </c>
      <c r="D153" s="4" t="n">
        <v>80</v>
      </c>
      <c r="E153" t="inlineStr">
        <is>
          <t>Lavage Express Agdal</t>
        </is>
      </c>
      <c r="F153" t="inlineStr">
        <is>
          <t>2 lavages</t>
        </is>
      </c>
    </row>
    <row r="154">
      <c r="A154" s="5" t="n">
        <v>46265</v>
      </c>
      <c r="B154" t="inlineStr">
        <is>
          <t>95936-H-1</t>
        </is>
      </c>
      <c r="C154" t="inlineStr">
        <is>
          <t>Lavage</t>
        </is>
      </c>
      <c r="D154" s="4" t="n">
        <v>40</v>
      </c>
      <c r="E154" t="inlineStr">
        <is>
          <t>Lavage Express Agdal</t>
        </is>
      </c>
      <c r="F154" t="inlineStr">
        <is>
          <t>1 lavages</t>
        </is>
      </c>
    </row>
    <row r="155">
      <c r="A155" s="5" t="n">
        <v>46265</v>
      </c>
      <c r="B155" t="inlineStr">
        <is>
          <t>96667-D-1</t>
        </is>
      </c>
      <c r="C155" t="inlineStr">
        <is>
          <t>Lavage</t>
        </is>
      </c>
      <c r="D155" s="4" t="n">
        <v>80</v>
      </c>
      <c r="E155" t="inlineStr">
        <is>
          <t>Lavage Express Agdal</t>
        </is>
      </c>
      <c r="F155" t="inlineStr">
        <is>
          <t>2 lavages</t>
        </is>
      </c>
    </row>
    <row r="156">
      <c r="A156" s="5" t="n">
        <v>46265</v>
      </c>
      <c r="B156" t="inlineStr">
        <is>
          <t>97018-A-1</t>
        </is>
      </c>
      <c r="C156" t="inlineStr">
        <is>
          <t>Lavage</t>
        </is>
      </c>
      <c r="D156" s="4" t="n">
        <v>120</v>
      </c>
      <c r="E156" t="inlineStr">
        <is>
          <t>Lavage Express Agdal</t>
        </is>
      </c>
      <c r="F156" t="inlineStr">
        <is>
          <t>3 lavages</t>
        </is>
      </c>
    </row>
    <row r="157">
      <c r="A157" s="5" t="n">
        <v>46265</v>
      </c>
      <c r="B157" t="inlineStr">
        <is>
          <t>97618-A-1</t>
        </is>
      </c>
      <c r="C157" t="inlineStr">
        <is>
          <t>Lavage</t>
        </is>
      </c>
      <c r="D157" s="4" t="n">
        <v>240</v>
      </c>
      <c r="E157" t="inlineStr">
        <is>
          <t>Lavage Express Agdal</t>
        </is>
      </c>
      <c r="F157" t="inlineStr">
        <is>
          <t>6 lavages</t>
        </is>
      </c>
    </row>
    <row r="158">
      <c r="A158" s="5" t="n">
        <v>46266</v>
      </c>
      <c r="C158" t="inlineStr">
        <is>
          <t>Loyer</t>
        </is>
      </c>
      <c r="D158" s="4" t="n">
        <v>12000</v>
      </c>
      <c r="E158" t="inlineStr">
        <is>
          <t>SCI Agdal</t>
        </is>
      </c>
      <c r="F158" t="inlineStr">
        <is>
          <t>Agence Agdal</t>
        </is>
      </c>
    </row>
    <row r="159">
      <c r="A159" s="5" t="n">
        <v>46266</v>
      </c>
      <c r="C159" t="inlineStr">
        <is>
          <t>Loyer</t>
        </is>
      </c>
      <c r="D159" s="4" t="n">
        <v>7000</v>
      </c>
      <c r="E159" t="inlineStr">
        <is>
          <t>Particulier</t>
        </is>
      </c>
      <c r="F159" t="inlineStr">
        <is>
          <t>Point Hay Riad</t>
        </is>
      </c>
    </row>
    <row r="160">
      <c r="A160" s="5" t="n">
        <v>46266</v>
      </c>
      <c r="C160" t="inlineStr">
        <is>
          <t>Loyer</t>
        </is>
      </c>
      <c r="D160" s="4" t="n">
        <v>5000</v>
      </c>
      <c r="E160" t="inlineStr">
        <is>
          <t>ONDA</t>
        </is>
      </c>
      <c r="F160" t="inlineStr">
        <is>
          <t>Comptoir aéroport</t>
        </is>
      </c>
    </row>
    <row r="161">
      <c r="A161" s="5" t="n">
        <v>46268</v>
      </c>
      <c r="C161" t="inlineStr">
        <is>
          <t>Logiciel</t>
        </is>
      </c>
      <c r="D161" s="4" t="n">
        <v>400</v>
      </c>
      <c r="E161" t="inlineStr">
        <is>
          <t>Hébergement AutoFlow</t>
        </is>
      </c>
      <c r="F161" t="inlineStr">
        <is>
          <t>VPS + domaine</t>
        </is>
      </c>
    </row>
    <row r="162">
      <c r="A162" s="5" t="n">
        <v>46270</v>
      </c>
      <c r="B162" t="inlineStr">
        <is>
          <t>21066-H-1</t>
        </is>
      </c>
      <c r="C162" t="inlineStr">
        <is>
          <t>Leasing</t>
        </is>
      </c>
      <c r="D162" s="4" t="n">
        <v>3750</v>
      </c>
      <c r="E162" t="inlineStr">
        <is>
          <t>Wafasalaf LOA</t>
        </is>
      </c>
      <c r="F162" t="inlineStr">
        <is>
          <t>Échéance 09/2026</t>
        </is>
      </c>
    </row>
    <row r="163">
      <c r="A163" s="5" t="n">
        <v>46270</v>
      </c>
      <c r="B163" t="inlineStr">
        <is>
          <t>36193-W-1</t>
        </is>
      </c>
      <c r="C163" t="inlineStr">
        <is>
          <t>Leasing</t>
        </is>
      </c>
      <c r="D163" s="4" t="n">
        <v>3000</v>
      </c>
      <c r="E163" t="inlineStr">
        <is>
          <t>Wafasalaf LOA</t>
        </is>
      </c>
      <c r="F163" t="inlineStr">
        <is>
          <t>Échéance 09/2026</t>
        </is>
      </c>
    </row>
    <row r="164">
      <c r="A164" s="5" t="n">
        <v>46270</v>
      </c>
      <c r="B164" t="inlineStr">
        <is>
          <t>47649-D-1</t>
        </is>
      </c>
      <c r="C164" t="inlineStr">
        <is>
          <t>Leasing</t>
        </is>
      </c>
      <c r="D164" s="4" t="n">
        <v>1870</v>
      </c>
      <c r="E164" t="inlineStr">
        <is>
          <t>Wafasalaf LOA</t>
        </is>
      </c>
      <c r="F164" t="inlineStr">
        <is>
          <t>Échéance 09/2026</t>
        </is>
      </c>
    </row>
    <row r="165">
      <c r="A165" s="5" t="n">
        <v>46270</v>
      </c>
      <c r="B165" t="inlineStr">
        <is>
          <t>69221-A-1</t>
        </is>
      </c>
      <c r="C165" t="inlineStr">
        <is>
          <t>Leasing</t>
        </is>
      </c>
      <c r="D165" s="4" t="n">
        <v>8250</v>
      </c>
      <c r="E165" t="inlineStr">
        <is>
          <t>Wafasalaf LOA</t>
        </is>
      </c>
      <c r="F165" t="inlineStr">
        <is>
          <t>Échéance 09/2026</t>
        </is>
      </c>
    </row>
    <row r="166">
      <c r="A166" s="5" t="n">
        <v>46270</v>
      </c>
      <c r="B166" t="inlineStr">
        <is>
          <t>74343-B-1</t>
        </is>
      </c>
      <c r="C166" t="inlineStr">
        <is>
          <t>Leasing</t>
        </is>
      </c>
      <c r="D166" s="4" t="n">
        <v>1720</v>
      </c>
      <c r="E166" t="inlineStr">
        <is>
          <t>Wafasalaf LOA</t>
        </is>
      </c>
      <c r="F166" t="inlineStr">
        <is>
          <t>Échéance 09/2026</t>
        </is>
      </c>
    </row>
    <row r="167">
      <c r="A167" s="5" t="n">
        <v>46270</v>
      </c>
      <c r="B167" t="inlineStr">
        <is>
          <t>83373-B-1</t>
        </is>
      </c>
      <c r="C167" t="inlineStr">
        <is>
          <t>Leasing</t>
        </is>
      </c>
      <c r="D167" s="4" t="n">
        <v>2020</v>
      </c>
      <c r="E167" t="inlineStr">
        <is>
          <t>Wafasalaf LOA</t>
        </is>
      </c>
      <c r="F167" t="inlineStr">
        <is>
          <t>Échéance 09/2026</t>
        </is>
      </c>
    </row>
    <row r="168">
      <c r="A168" s="5" t="n">
        <v>46270</v>
      </c>
      <c r="B168" t="inlineStr">
        <is>
          <t>83662-D-1</t>
        </is>
      </c>
      <c r="C168" t="inlineStr">
        <is>
          <t>Leasing</t>
        </is>
      </c>
      <c r="D168" s="4" t="n">
        <v>2700</v>
      </c>
      <c r="E168" t="inlineStr">
        <is>
          <t>Wafasalaf LOA</t>
        </is>
      </c>
      <c r="F168" t="inlineStr">
        <is>
          <t>Échéance 09/2026</t>
        </is>
      </c>
    </row>
    <row r="169">
      <c r="A169" s="5" t="n">
        <v>46270</v>
      </c>
      <c r="B169" t="inlineStr">
        <is>
          <t>85272-B-1</t>
        </is>
      </c>
      <c r="C169" t="inlineStr">
        <is>
          <t>Leasing</t>
        </is>
      </c>
      <c r="D169" s="4" t="n">
        <v>3370</v>
      </c>
      <c r="E169" t="inlineStr">
        <is>
          <t>Wafasalaf LOA</t>
        </is>
      </c>
      <c r="F169" t="inlineStr">
        <is>
          <t>Échéance 09/2026</t>
        </is>
      </c>
    </row>
    <row r="170">
      <c r="A170" s="5" t="n">
        <v>46270</v>
      </c>
      <c r="B170" t="inlineStr">
        <is>
          <t>88664-D-1</t>
        </is>
      </c>
      <c r="C170" t="inlineStr">
        <is>
          <t>Leasing</t>
        </is>
      </c>
      <c r="D170" s="4" t="n">
        <v>2250</v>
      </c>
      <c r="E170" t="inlineStr">
        <is>
          <t>Wafasalaf LOA</t>
        </is>
      </c>
      <c r="F170" t="inlineStr">
        <is>
          <t>Échéance 09/2026</t>
        </is>
      </c>
    </row>
    <row r="171">
      <c r="A171" s="5" t="n">
        <v>46270</v>
      </c>
      <c r="B171" t="inlineStr">
        <is>
          <t>91702-H-1</t>
        </is>
      </c>
      <c r="C171" t="inlineStr">
        <is>
          <t>Leasing</t>
        </is>
      </c>
      <c r="D171" s="4" t="n">
        <v>6000</v>
      </c>
      <c r="E171" t="inlineStr">
        <is>
          <t>Wafasalaf LOA</t>
        </is>
      </c>
      <c r="F171" t="inlineStr">
        <is>
          <t>Échéance 09/2026</t>
        </is>
      </c>
    </row>
    <row r="172">
      <c r="A172" s="5" t="n">
        <v>46270</v>
      </c>
      <c r="B172" t="inlineStr">
        <is>
          <t>94626-B-1</t>
        </is>
      </c>
      <c r="C172" t="inlineStr">
        <is>
          <t>Leasing</t>
        </is>
      </c>
      <c r="D172" s="4" t="n">
        <v>6750</v>
      </c>
      <c r="E172" t="inlineStr">
        <is>
          <t>Wafasalaf LOA</t>
        </is>
      </c>
      <c r="F172" t="inlineStr">
        <is>
          <t>Échéance 09/2026</t>
        </is>
      </c>
    </row>
    <row r="173">
      <c r="A173" s="5" t="n">
        <v>46270</v>
      </c>
      <c r="B173" t="inlineStr">
        <is>
          <t>96667-D-1</t>
        </is>
      </c>
      <c r="C173" t="inlineStr">
        <is>
          <t>Leasing</t>
        </is>
      </c>
      <c r="D173" s="4" t="n">
        <v>6000</v>
      </c>
      <c r="E173" t="inlineStr">
        <is>
          <t>Wafasalaf LOA</t>
        </is>
      </c>
      <c r="F173" t="inlineStr">
        <is>
          <t>Échéance 09/2026</t>
        </is>
      </c>
    </row>
    <row r="174">
      <c r="A174" s="5" t="n">
        <v>46270</v>
      </c>
      <c r="B174" t="inlineStr">
        <is>
          <t>97618-A-1</t>
        </is>
      </c>
      <c r="C174" t="inlineStr">
        <is>
          <t>Leasing</t>
        </is>
      </c>
      <c r="D174" s="4" t="n">
        <v>3000</v>
      </c>
      <c r="E174" t="inlineStr">
        <is>
          <t>Wafasalaf LOA</t>
        </is>
      </c>
      <c r="F174" t="inlineStr">
        <is>
          <t>Échéance 09/2026</t>
        </is>
      </c>
    </row>
    <row r="175">
      <c r="A175" s="5" t="n">
        <v>46273</v>
      </c>
      <c r="B175" t="inlineStr">
        <is>
          <t>84923-D-1</t>
        </is>
      </c>
      <c r="C175" t="inlineStr">
        <is>
          <t>Carburant</t>
        </is>
      </c>
      <c r="D175" s="4" t="n">
        <v>800</v>
      </c>
      <c r="E175" t="inlineStr">
        <is>
          <t>Afriquia</t>
        </is>
      </c>
      <c r="F175" t="inlineStr">
        <is>
          <t>Plein avant livraison aéroport</t>
        </is>
      </c>
    </row>
    <row r="176">
      <c r="A176" s="5" t="n">
        <v>46277</v>
      </c>
      <c r="C176" t="inlineStr">
        <is>
          <t>Électricité &amp; eau</t>
        </is>
      </c>
      <c r="D176" s="4" t="n">
        <v>1400</v>
      </c>
      <c r="E176" t="inlineStr">
        <is>
          <t>Redal</t>
        </is>
      </c>
      <c r="F176" t="inlineStr"/>
    </row>
    <row r="177">
      <c r="A177" s="5" t="n">
        <v>46280</v>
      </c>
      <c r="C177" t="inlineStr">
        <is>
          <t>Internet &amp; téléphone</t>
        </is>
      </c>
      <c r="D177" s="4" t="n">
        <v>780</v>
      </c>
      <c r="E177" t="inlineStr">
        <is>
          <t>Maroc Telecom</t>
        </is>
      </c>
      <c r="F177" t="inlineStr">
        <is>
          <t>Fibre + 4 lignes</t>
        </is>
      </c>
    </row>
    <row r="178">
      <c r="A178" s="5" t="n">
        <v>46284</v>
      </c>
      <c r="B178" t="inlineStr">
        <is>
          <t>85272-B-1</t>
        </is>
      </c>
      <c r="C178" t="inlineStr">
        <is>
          <t>Carburant</t>
        </is>
      </c>
      <c r="D178" s="4" t="n">
        <v>800</v>
      </c>
      <c r="E178" t="inlineStr">
        <is>
          <t>Afriquia</t>
        </is>
      </c>
      <c r="F178" t="inlineStr">
        <is>
          <t>Plein avant livraison aéroport</t>
        </is>
      </c>
    </row>
    <row r="179">
      <c r="A179" s="5" t="n">
        <v>46284</v>
      </c>
      <c r="B179" t="inlineStr">
        <is>
          <t>91567-W-1</t>
        </is>
      </c>
      <c r="C179" t="inlineStr">
        <is>
          <t>Carburant</t>
        </is>
      </c>
      <c r="D179" s="4" t="n">
        <v>700</v>
      </c>
      <c r="E179" t="inlineStr">
        <is>
          <t>Afriquia</t>
        </is>
      </c>
      <c r="F179" t="inlineStr">
        <is>
          <t>Plein avant livraison aéroport</t>
        </is>
      </c>
    </row>
    <row r="180">
      <c r="A180" s="5" t="n">
        <v>46285</v>
      </c>
      <c r="C180" t="inlineStr">
        <is>
          <t>Marketing</t>
        </is>
      </c>
      <c r="D180" s="4" t="n">
        <v>2400</v>
      </c>
      <c r="E180" t="inlineStr">
        <is>
          <t>Meta Ads / Google Ads</t>
        </is>
      </c>
      <c r="F180" t="inlineStr">
        <is>
          <t>Facebook / Instagram</t>
        </is>
      </c>
    </row>
    <row r="181">
      <c r="A181" s="5" t="n">
        <v>46285</v>
      </c>
      <c r="B181" t="inlineStr">
        <is>
          <t>49965-H-1</t>
        </is>
      </c>
      <c r="C181" t="inlineStr">
        <is>
          <t>Carburant</t>
        </is>
      </c>
      <c r="D181" s="4" t="n">
        <v>700</v>
      </c>
      <c r="E181" t="inlineStr">
        <is>
          <t>Afriquia</t>
        </is>
      </c>
      <c r="F181" t="inlineStr">
        <is>
          <t>Plein avant livraison aéroport</t>
        </is>
      </c>
    </row>
    <row r="182">
      <c r="A182" s="5" t="n">
        <v>46286</v>
      </c>
      <c r="B182" t="inlineStr">
        <is>
          <t>54616-W-1</t>
        </is>
      </c>
      <c r="C182" t="inlineStr">
        <is>
          <t>Réparation</t>
        </is>
      </c>
      <c r="D182" s="4" t="n">
        <v>2400</v>
      </c>
      <c r="E182" t="inlineStr">
        <is>
          <t>Garage Atlas Agdal</t>
        </is>
      </c>
      <c r="F182" t="inlineStr">
        <is>
          <t>Batterie</t>
        </is>
      </c>
    </row>
    <row r="183">
      <c r="A183" s="5" t="n">
        <v>46290</v>
      </c>
      <c r="C183" t="inlineStr">
        <is>
          <t>Comptabilité</t>
        </is>
      </c>
      <c r="D183" s="4" t="n">
        <v>2500</v>
      </c>
      <c r="E183" t="inlineStr">
        <is>
          <t>Cabinet Fiduciaire</t>
        </is>
      </c>
      <c r="F183" t="inlineStr"/>
    </row>
    <row r="184">
      <c r="A184" s="5" t="n">
        <v>46290</v>
      </c>
      <c r="B184" t="inlineStr">
        <is>
          <t>21066-H-1</t>
        </is>
      </c>
      <c r="C184" t="inlineStr">
        <is>
          <t>Lavage</t>
        </is>
      </c>
      <c r="D184" s="4" t="n">
        <v>160</v>
      </c>
      <c r="E184" t="inlineStr">
        <is>
          <t>Lavage Express Agdal</t>
        </is>
      </c>
      <c r="F184" t="inlineStr">
        <is>
          <t>4 lavages</t>
        </is>
      </c>
    </row>
    <row r="185">
      <c r="A185" s="5" t="n">
        <v>46290</v>
      </c>
      <c r="B185" t="inlineStr">
        <is>
          <t>22080-H-1</t>
        </is>
      </c>
      <c r="C185" t="inlineStr">
        <is>
          <t>Lavage</t>
        </is>
      </c>
      <c r="D185" s="4" t="n">
        <v>160</v>
      </c>
      <c r="E185" t="inlineStr">
        <is>
          <t>Lavage Express Agdal</t>
        </is>
      </c>
      <c r="F185" t="inlineStr">
        <is>
          <t>4 lavages</t>
        </is>
      </c>
    </row>
    <row r="186">
      <c r="A186" s="5" t="n">
        <v>46290</v>
      </c>
      <c r="B186" t="inlineStr">
        <is>
          <t>22394-A-1</t>
        </is>
      </c>
      <c r="C186" t="inlineStr">
        <is>
          <t>Lavage</t>
        </is>
      </c>
      <c r="D186" s="4" t="n">
        <v>160</v>
      </c>
      <c r="E186" t="inlineStr">
        <is>
          <t>Lavage Express Agdal</t>
        </is>
      </c>
      <c r="F186" t="inlineStr">
        <is>
          <t>4 lavages</t>
        </is>
      </c>
    </row>
    <row r="187">
      <c r="A187" s="5" t="n">
        <v>46290</v>
      </c>
      <c r="B187" t="inlineStr">
        <is>
          <t>25835-W-1</t>
        </is>
      </c>
      <c r="C187" t="inlineStr">
        <is>
          <t>Lavage</t>
        </is>
      </c>
      <c r="D187" s="4" t="n">
        <v>200</v>
      </c>
      <c r="E187" t="inlineStr">
        <is>
          <t>Lavage Express Agdal</t>
        </is>
      </c>
      <c r="F187" t="inlineStr">
        <is>
          <t>5 lavages</t>
        </is>
      </c>
    </row>
    <row r="188">
      <c r="A188" s="5" t="n">
        <v>46290</v>
      </c>
      <c r="B188" t="inlineStr">
        <is>
          <t>33992-B-1</t>
        </is>
      </c>
      <c r="C188" t="inlineStr">
        <is>
          <t>Lavage</t>
        </is>
      </c>
      <c r="D188" s="4" t="n">
        <v>120</v>
      </c>
      <c r="E188" t="inlineStr">
        <is>
          <t>Lavage Express Agdal</t>
        </is>
      </c>
      <c r="F188" t="inlineStr">
        <is>
          <t>3 lavages</t>
        </is>
      </c>
    </row>
    <row r="189">
      <c r="A189" s="5" t="n">
        <v>46290</v>
      </c>
      <c r="B189" t="inlineStr">
        <is>
          <t>35623-W-1</t>
        </is>
      </c>
      <c r="C189" t="inlineStr">
        <is>
          <t>Lavage</t>
        </is>
      </c>
      <c r="D189" s="4" t="n">
        <v>160</v>
      </c>
      <c r="E189" t="inlineStr">
        <is>
          <t>Lavage Express Agdal</t>
        </is>
      </c>
      <c r="F189" t="inlineStr">
        <is>
          <t>4 lavages</t>
        </is>
      </c>
    </row>
    <row r="190">
      <c r="A190" s="5" t="n">
        <v>46290</v>
      </c>
      <c r="B190" t="inlineStr">
        <is>
          <t>36193-W-1</t>
        </is>
      </c>
      <c r="C190" t="inlineStr">
        <is>
          <t>Lavage</t>
        </is>
      </c>
      <c r="D190" s="4" t="n">
        <v>160</v>
      </c>
      <c r="E190" t="inlineStr">
        <is>
          <t>Lavage Express Agdal</t>
        </is>
      </c>
      <c r="F190" t="inlineStr">
        <is>
          <t>4 lavages</t>
        </is>
      </c>
    </row>
    <row r="191">
      <c r="A191" s="5" t="n">
        <v>46290</v>
      </c>
      <c r="B191" t="inlineStr">
        <is>
          <t>47649-D-1</t>
        </is>
      </c>
      <c r="C191" t="inlineStr">
        <is>
          <t>Lavage</t>
        </is>
      </c>
      <c r="D191" s="4" t="n">
        <v>120</v>
      </c>
      <c r="E191" t="inlineStr">
        <is>
          <t>Lavage Express Agdal</t>
        </is>
      </c>
      <c r="F191" t="inlineStr">
        <is>
          <t>3 lavages</t>
        </is>
      </c>
    </row>
    <row r="192">
      <c r="A192" s="5" t="n">
        <v>46290</v>
      </c>
      <c r="B192" t="inlineStr">
        <is>
          <t>49965-H-1</t>
        </is>
      </c>
      <c r="C192" t="inlineStr">
        <is>
          <t>Lavage</t>
        </is>
      </c>
      <c r="D192" s="4" t="n">
        <v>120</v>
      </c>
      <c r="E192" t="inlineStr">
        <is>
          <t>Lavage Express Agdal</t>
        </is>
      </c>
      <c r="F192" t="inlineStr">
        <is>
          <t>3 lavages</t>
        </is>
      </c>
    </row>
    <row r="193">
      <c r="A193" s="5" t="n">
        <v>46290</v>
      </c>
      <c r="B193" t="inlineStr">
        <is>
          <t>54616-W-1</t>
        </is>
      </c>
      <c r="C193" t="inlineStr">
        <is>
          <t>Lavage</t>
        </is>
      </c>
      <c r="D193" s="4" t="n">
        <v>280</v>
      </c>
      <c r="E193" t="inlineStr">
        <is>
          <t>Lavage Express Agdal</t>
        </is>
      </c>
      <c r="F193" t="inlineStr">
        <is>
          <t>7 lavages</t>
        </is>
      </c>
    </row>
    <row r="194">
      <c r="A194" s="5" t="n">
        <v>46290</v>
      </c>
      <c r="B194" t="inlineStr">
        <is>
          <t>62064-H-1</t>
        </is>
      </c>
      <c r="C194" t="inlineStr">
        <is>
          <t>Lavage</t>
        </is>
      </c>
      <c r="D194" s="4" t="n">
        <v>160</v>
      </c>
      <c r="E194" t="inlineStr">
        <is>
          <t>Lavage Express Agdal</t>
        </is>
      </c>
      <c r="F194" t="inlineStr">
        <is>
          <t>4 lavages</t>
        </is>
      </c>
    </row>
    <row r="195">
      <c r="A195" s="5" t="n">
        <v>46290</v>
      </c>
      <c r="B195" t="inlineStr">
        <is>
          <t>62268-B-1</t>
        </is>
      </c>
      <c r="C195" t="inlineStr">
        <is>
          <t>Lavage</t>
        </is>
      </c>
      <c r="D195" s="4" t="n">
        <v>40</v>
      </c>
      <c r="E195" t="inlineStr">
        <is>
          <t>Lavage Express Agdal</t>
        </is>
      </c>
      <c r="F195" t="inlineStr">
        <is>
          <t>1 lavages</t>
        </is>
      </c>
    </row>
    <row r="196">
      <c r="A196" s="5" t="n">
        <v>46290</v>
      </c>
      <c r="B196" t="inlineStr">
        <is>
          <t>69221-A-1</t>
        </is>
      </c>
      <c r="C196" t="inlineStr">
        <is>
          <t>Lavage</t>
        </is>
      </c>
      <c r="D196" s="4" t="n">
        <v>80</v>
      </c>
      <c r="E196" t="inlineStr">
        <is>
          <t>Lavage Express Agdal</t>
        </is>
      </c>
      <c r="F196" t="inlineStr">
        <is>
          <t>2 lavages</t>
        </is>
      </c>
    </row>
    <row r="197">
      <c r="A197" s="5" t="n">
        <v>46290</v>
      </c>
      <c r="B197" t="inlineStr">
        <is>
          <t>69873-A-1</t>
        </is>
      </c>
      <c r="C197" t="inlineStr">
        <is>
          <t>Lavage</t>
        </is>
      </c>
      <c r="D197" s="4" t="n">
        <v>160</v>
      </c>
      <c r="E197" t="inlineStr">
        <is>
          <t>Lavage Express Agdal</t>
        </is>
      </c>
      <c r="F197" t="inlineStr">
        <is>
          <t>4 lavages</t>
        </is>
      </c>
    </row>
    <row r="198">
      <c r="A198" s="5" t="n">
        <v>46290</v>
      </c>
      <c r="B198" t="inlineStr">
        <is>
          <t>71302-W-1</t>
        </is>
      </c>
      <c r="C198" t="inlineStr">
        <is>
          <t>Lavage</t>
        </is>
      </c>
      <c r="D198" s="4" t="n">
        <v>160</v>
      </c>
      <c r="E198" t="inlineStr">
        <is>
          <t>Lavage Express Agdal</t>
        </is>
      </c>
      <c r="F198" t="inlineStr">
        <is>
          <t>4 lavages</t>
        </is>
      </c>
    </row>
    <row r="199">
      <c r="A199" s="5" t="n">
        <v>46290</v>
      </c>
      <c r="B199" t="inlineStr">
        <is>
          <t>71994-D-1</t>
        </is>
      </c>
      <c r="C199" t="inlineStr">
        <is>
          <t>Lavage</t>
        </is>
      </c>
      <c r="D199" s="4" t="n">
        <v>160</v>
      </c>
      <c r="E199" t="inlineStr">
        <is>
          <t>Lavage Express Agdal</t>
        </is>
      </c>
      <c r="F199" t="inlineStr">
        <is>
          <t>4 lavages</t>
        </is>
      </c>
    </row>
    <row r="200">
      <c r="A200" s="5" t="n">
        <v>46290</v>
      </c>
      <c r="B200" t="inlineStr">
        <is>
          <t>72769-D-1</t>
        </is>
      </c>
      <c r="C200" t="inlineStr">
        <is>
          <t>Lavage</t>
        </is>
      </c>
      <c r="D200" s="4" t="n">
        <v>200</v>
      </c>
      <c r="E200" t="inlineStr">
        <is>
          <t>Lavage Express Agdal</t>
        </is>
      </c>
      <c r="F200" t="inlineStr">
        <is>
          <t>5 lavages</t>
        </is>
      </c>
    </row>
    <row r="201">
      <c r="A201" s="5" t="n">
        <v>46290</v>
      </c>
      <c r="B201" t="inlineStr">
        <is>
          <t>74343-B-1</t>
        </is>
      </c>
      <c r="C201" t="inlineStr">
        <is>
          <t>Lavage</t>
        </is>
      </c>
      <c r="D201" s="4" t="n">
        <v>120</v>
      </c>
      <c r="E201" t="inlineStr">
        <is>
          <t>Lavage Express Agdal</t>
        </is>
      </c>
      <c r="F201" t="inlineStr">
        <is>
          <t>3 lavages</t>
        </is>
      </c>
    </row>
    <row r="202">
      <c r="A202" s="5" t="n">
        <v>46290</v>
      </c>
      <c r="B202" t="inlineStr">
        <is>
          <t>75329-D-1</t>
        </is>
      </c>
      <c r="C202" t="inlineStr">
        <is>
          <t>Lavage</t>
        </is>
      </c>
      <c r="D202" s="4" t="n">
        <v>200</v>
      </c>
      <c r="E202" t="inlineStr">
        <is>
          <t>Lavage Express Agdal</t>
        </is>
      </c>
      <c r="F202" t="inlineStr">
        <is>
          <t>5 lavages</t>
        </is>
      </c>
    </row>
    <row r="203">
      <c r="A203" s="5" t="n">
        <v>46290</v>
      </c>
      <c r="B203" t="inlineStr">
        <is>
          <t>76545-W-1</t>
        </is>
      </c>
      <c r="C203" t="inlineStr">
        <is>
          <t>Lavage</t>
        </is>
      </c>
      <c r="D203" s="4" t="n">
        <v>160</v>
      </c>
      <c r="E203" t="inlineStr">
        <is>
          <t>Lavage Express Agdal</t>
        </is>
      </c>
      <c r="F203" t="inlineStr">
        <is>
          <t>4 lavages</t>
        </is>
      </c>
    </row>
    <row r="204">
      <c r="A204" s="5" t="n">
        <v>46290</v>
      </c>
      <c r="B204" t="inlineStr">
        <is>
          <t>76897-B-1</t>
        </is>
      </c>
      <c r="C204" t="inlineStr">
        <is>
          <t>Lavage</t>
        </is>
      </c>
      <c r="D204" s="4" t="n">
        <v>160</v>
      </c>
      <c r="E204" t="inlineStr">
        <is>
          <t>Lavage Express Agdal</t>
        </is>
      </c>
      <c r="F204" t="inlineStr">
        <is>
          <t>4 lavages</t>
        </is>
      </c>
    </row>
    <row r="205">
      <c r="A205" s="5" t="n">
        <v>46290</v>
      </c>
      <c r="B205" t="inlineStr">
        <is>
          <t>77893-H-1</t>
        </is>
      </c>
      <c r="C205" t="inlineStr">
        <is>
          <t>Lavage</t>
        </is>
      </c>
      <c r="D205" s="4" t="n">
        <v>200</v>
      </c>
      <c r="E205" t="inlineStr">
        <is>
          <t>Lavage Express Agdal</t>
        </is>
      </c>
      <c r="F205" t="inlineStr">
        <is>
          <t>5 lavages</t>
        </is>
      </c>
    </row>
    <row r="206">
      <c r="A206" s="5" t="n">
        <v>46290</v>
      </c>
      <c r="B206" t="inlineStr">
        <is>
          <t>81442-B-1</t>
        </is>
      </c>
      <c r="C206" t="inlineStr">
        <is>
          <t>Lavage</t>
        </is>
      </c>
      <c r="D206" s="4" t="n">
        <v>120</v>
      </c>
      <c r="E206" t="inlineStr">
        <is>
          <t>Lavage Express Agdal</t>
        </is>
      </c>
      <c r="F206" t="inlineStr">
        <is>
          <t>3 lavages</t>
        </is>
      </c>
    </row>
    <row r="207">
      <c r="A207" s="5" t="n">
        <v>46290</v>
      </c>
      <c r="B207" t="inlineStr">
        <is>
          <t>83373-B-1</t>
        </is>
      </c>
      <c r="C207" t="inlineStr">
        <is>
          <t>Lavage</t>
        </is>
      </c>
      <c r="D207" s="4" t="n">
        <v>200</v>
      </c>
      <c r="E207" t="inlineStr">
        <is>
          <t>Lavage Express Agdal</t>
        </is>
      </c>
      <c r="F207" t="inlineStr">
        <is>
          <t>5 lavages</t>
        </is>
      </c>
    </row>
    <row r="208">
      <c r="A208" s="5" t="n">
        <v>46290</v>
      </c>
      <c r="B208" t="inlineStr">
        <is>
          <t>83662-D-1</t>
        </is>
      </c>
      <c r="C208" t="inlineStr">
        <is>
          <t>Lavage</t>
        </is>
      </c>
      <c r="D208" s="4" t="n">
        <v>200</v>
      </c>
      <c r="E208" t="inlineStr">
        <is>
          <t>Lavage Express Agdal</t>
        </is>
      </c>
      <c r="F208" t="inlineStr">
        <is>
          <t>5 lavages</t>
        </is>
      </c>
    </row>
    <row r="209">
      <c r="A209" s="5" t="n">
        <v>46290</v>
      </c>
      <c r="B209" t="inlineStr">
        <is>
          <t>84923-D-1</t>
        </is>
      </c>
      <c r="C209" t="inlineStr">
        <is>
          <t>Lavage</t>
        </is>
      </c>
      <c r="D209" s="4" t="n">
        <v>200</v>
      </c>
      <c r="E209" t="inlineStr">
        <is>
          <t>Lavage Express Agdal</t>
        </is>
      </c>
      <c r="F209" t="inlineStr">
        <is>
          <t>5 lavages</t>
        </is>
      </c>
    </row>
    <row r="210">
      <c r="A210" s="5" t="n">
        <v>46290</v>
      </c>
      <c r="B210" t="inlineStr">
        <is>
          <t>85272-B-1</t>
        </is>
      </c>
      <c r="C210" t="inlineStr">
        <is>
          <t>Lavage</t>
        </is>
      </c>
      <c r="D210" s="4" t="n">
        <v>240</v>
      </c>
      <c r="E210" t="inlineStr">
        <is>
          <t>Lavage Express Agdal</t>
        </is>
      </c>
      <c r="F210" t="inlineStr">
        <is>
          <t>6 lavages</t>
        </is>
      </c>
    </row>
    <row r="211">
      <c r="A211" s="5" t="n">
        <v>46290</v>
      </c>
      <c r="B211" t="inlineStr">
        <is>
          <t>85684-A-1</t>
        </is>
      </c>
      <c r="C211" t="inlineStr">
        <is>
          <t>Lavage</t>
        </is>
      </c>
      <c r="D211" s="4" t="n">
        <v>160</v>
      </c>
      <c r="E211" t="inlineStr">
        <is>
          <t>Lavage Express Agdal</t>
        </is>
      </c>
      <c r="F211" t="inlineStr">
        <is>
          <t>4 lavages</t>
        </is>
      </c>
    </row>
    <row r="212">
      <c r="A212" s="5" t="n">
        <v>46290</v>
      </c>
      <c r="B212" t="inlineStr">
        <is>
          <t>88664-D-1</t>
        </is>
      </c>
      <c r="C212" t="inlineStr">
        <is>
          <t>Lavage</t>
        </is>
      </c>
      <c r="D212" s="4" t="n">
        <v>80</v>
      </c>
      <c r="E212" t="inlineStr">
        <is>
          <t>Lavage Express Agdal</t>
        </is>
      </c>
      <c r="F212" t="inlineStr">
        <is>
          <t>2 lavages</t>
        </is>
      </c>
    </row>
    <row r="213">
      <c r="A213" s="5" t="n">
        <v>46290</v>
      </c>
      <c r="B213" t="inlineStr">
        <is>
          <t>88778-A-1</t>
        </is>
      </c>
      <c r="C213" t="inlineStr">
        <is>
          <t>Lavage</t>
        </is>
      </c>
      <c r="D213" s="4" t="n">
        <v>160</v>
      </c>
      <c r="E213" t="inlineStr">
        <is>
          <t>Lavage Express Agdal</t>
        </is>
      </c>
      <c r="F213" t="inlineStr">
        <is>
          <t>4 lavages</t>
        </is>
      </c>
    </row>
    <row r="214">
      <c r="A214" s="5" t="n">
        <v>46290</v>
      </c>
      <c r="B214" t="inlineStr">
        <is>
          <t>91567-W-1</t>
        </is>
      </c>
      <c r="C214" t="inlineStr">
        <is>
          <t>Lavage</t>
        </is>
      </c>
      <c r="D214" s="4" t="n">
        <v>40</v>
      </c>
      <c r="E214" t="inlineStr">
        <is>
          <t>Lavage Express Agdal</t>
        </is>
      </c>
      <c r="F214" t="inlineStr">
        <is>
          <t>1 lavages</t>
        </is>
      </c>
    </row>
    <row r="215">
      <c r="A215" s="5" t="n">
        <v>46290</v>
      </c>
      <c r="B215" t="inlineStr">
        <is>
          <t>91702-H-1</t>
        </is>
      </c>
      <c r="C215" t="inlineStr">
        <is>
          <t>Lavage</t>
        </is>
      </c>
      <c r="D215" s="4" t="n">
        <v>120</v>
      </c>
      <c r="E215" t="inlineStr">
        <is>
          <t>Lavage Express Agdal</t>
        </is>
      </c>
      <c r="F215" t="inlineStr">
        <is>
          <t>3 lavages</t>
        </is>
      </c>
    </row>
    <row r="216">
      <c r="A216" s="5" t="n">
        <v>46290</v>
      </c>
      <c r="B216" t="inlineStr">
        <is>
          <t>94626-B-1</t>
        </is>
      </c>
      <c r="C216" t="inlineStr">
        <is>
          <t>Lavage</t>
        </is>
      </c>
      <c r="D216" s="4" t="n">
        <v>200</v>
      </c>
      <c r="E216" t="inlineStr">
        <is>
          <t>Lavage Express Agdal</t>
        </is>
      </c>
      <c r="F216" t="inlineStr">
        <is>
          <t>5 lavages</t>
        </is>
      </c>
    </row>
    <row r="217">
      <c r="A217" s="5" t="n">
        <v>46290</v>
      </c>
      <c r="B217" t="inlineStr">
        <is>
          <t>95936-H-1</t>
        </is>
      </c>
      <c r="C217" t="inlineStr">
        <is>
          <t>Lavage</t>
        </is>
      </c>
      <c r="D217" s="4" t="n">
        <v>200</v>
      </c>
      <c r="E217" t="inlineStr">
        <is>
          <t>Lavage Express Agdal</t>
        </is>
      </c>
      <c r="F217" t="inlineStr">
        <is>
          <t>5 lavages</t>
        </is>
      </c>
    </row>
    <row r="218">
      <c r="A218" s="5" t="n">
        <v>46290</v>
      </c>
      <c r="B218" t="inlineStr">
        <is>
          <t>96667-D-1</t>
        </is>
      </c>
      <c r="C218" t="inlineStr">
        <is>
          <t>Lavage</t>
        </is>
      </c>
      <c r="D218" s="4" t="n">
        <v>240</v>
      </c>
      <c r="E218" t="inlineStr">
        <is>
          <t>Lavage Express Agdal</t>
        </is>
      </c>
      <c r="F218" t="inlineStr">
        <is>
          <t>6 lavages</t>
        </is>
      </c>
    </row>
    <row r="219">
      <c r="A219" s="5" t="n">
        <v>46290</v>
      </c>
      <c r="B219" t="inlineStr">
        <is>
          <t>97018-A-1</t>
        </is>
      </c>
      <c r="C219" t="inlineStr">
        <is>
          <t>Lavage</t>
        </is>
      </c>
      <c r="D219" s="4" t="n">
        <v>200</v>
      </c>
      <c r="E219" t="inlineStr">
        <is>
          <t>Lavage Express Agdal</t>
        </is>
      </c>
      <c r="F219" t="inlineStr">
        <is>
          <t>5 lavages</t>
        </is>
      </c>
    </row>
    <row r="220">
      <c r="A220" s="5" t="n">
        <v>46290</v>
      </c>
      <c r="B220" t="inlineStr">
        <is>
          <t>97618-A-1</t>
        </is>
      </c>
      <c r="C220" t="inlineStr">
        <is>
          <t>Lavage</t>
        </is>
      </c>
      <c r="D220" s="4" t="n">
        <v>120</v>
      </c>
      <c r="E220" t="inlineStr">
        <is>
          <t>Lavage Express Agdal</t>
        </is>
      </c>
      <c r="F220" t="inlineStr">
        <is>
          <t>3 lavages</t>
        </is>
      </c>
    </row>
  </sheetData>
  <dataValidations count="1">
    <dataValidation sqref="C2:C719" showDropDown="0" showInputMessage="0" showErrorMessage="0" allowBlank="0" type="list">
      <formula1>"Leasing,Assurance,Vignette,Vidange,Pneus,Réparation,Lavage,Visite technique,Carburant,Loyer,Salaires,Électricité &amp; eau,Internet &amp; téléphone,Marketing,Comptabilité,Logiciel"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 ht="22" customHeight="1">
      <c r="A1" s="2" t="inlineStr">
        <is>
          <t>DATE</t>
        </is>
      </c>
      <c r="B1" s="2" t="inlineStr">
        <is>
          <t>HEURE</t>
        </is>
      </c>
      <c r="C1" s="2" t="inlineStr">
        <is>
          <t>TYPE</t>
        </is>
      </c>
      <c r="D1" s="2" t="inlineStr">
        <is>
          <t>MATRICULE</t>
        </is>
      </c>
      <c r="E1" s="2" t="inlineStr">
        <is>
          <t>CIN</t>
        </is>
      </c>
      <c r="F1" s="2" t="inlineStr">
        <is>
          <t>STATUT</t>
        </is>
      </c>
      <c r="G1" s="2" t="inlineStr">
        <is>
          <t>NOTE</t>
        </is>
      </c>
    </row>
    <row r="2">
      <c r="A2" s="5" t="n">
        <v>46214</v>
      </c>
      <c r="B2" t="inlineStr">
        <is>
          <t>16:30</t>
        </is>
      </c>
      <c r="C2" t="inlineStr">
        <is>
          <t>Entretien garage</t>
        </is>
      </c>
      <c r="D2" t="inlineStr">
        <is>
          <t>25835-W-1</t>
        </is>
      </c>
      <c r="F2" t="inlineStr">
        <is>
          <t>fait</t>
        </is>
      </c>
      <c r="G2" t="inlineStr">
        <is>
          <t>Révision</t>
        </is>
      </c>
    </row>
    <row r="3">
      <c r="A3" s="5" t="n">
        <v>46216</v>
      </c>
      <c r="B3" t="inlineStr">
        <is>
          <t>14:00</t>
        </is>
      </c>
      <c r="C3" t="inlineStr">
        <is>
          <t>Rendez-vous client</t>
        </is>
      </c>
      <c r="E3" t="inlineStr">
        <is>
          <t>AB467851</t>
        </is>
      </c>
      <c r="F3" t="inlineStr">
        <is>
          <t>fait</t>
        </is>
      </c>
      <c r="G3" t="inlineStr">
        <is>
          <t>Mariage — 3 berlines</t>
        </is>
      </c>
    </row>
    <row r="4">
      <c r="A4" s="5" t="n">
        <v>46225</v>
      </c>
      <c r="B4" t="inlineStr">
        <is>
          <t>15:30</t>
        </is>
      </c>
      <c r="C4" t="inlineStr">
        <is>
          <t>Entretien garage</t>
        </is>
      </c>
      <c r="D4" t="inlineStr">
        <is>
          <t>97018-A-1</t>
        </is>
      </c>
      <c r="F4" t="inlineStr">
        <is>
          <t>fait</t>
        </is>
      </c>
      <c r="G4" t="inlineStr">
        <is>
          <t>Révision</t>
        </is>
      </c>
    </row>
    <row r="5">
      <c r="A5" s="5" t="n">
        <v>46231</v>
      </c>
      <c r="B5" t="inlineStr">
        <is>
          <t>16:00</t>
        </is>
      </c>
      <c r="C5" t="inlineStr">
        <is>
          <t>Visite technique</t>
        </is>
      </c>
      <c r="D5" t="inlineStr">
        <is>
          <t>21066-H-1</t>
        </is>
      </c>
      <c r="F5" t="inlineStr">
        <is>
          <t>fait</t>
        </is>
      </c>
      <c r="G5" t="inlineStr"/>
    </row>
    <row r="6">
      <c r="A6" s="5" t="n">
        <v>46233</v>
      </c>
      <c r="B6" t="inlineStr">
        <is>
          <t>11:30</t>
        </is>
      </c>
      <c r="C6" t="inlineStr">
        <is>
          <t>Entretien garage</t>
        </is>
      </c>
      <c r="D6" t="inlineStr">
        <is>
          <t>91567-W-1</t>
        </is>
      </c>
      <c r="F6" t="inlineStr">
        <is>
          <t>fait</t>
        </is>
      </c>
      <c r="G6" t="inlineStr">
        <is>
          <t>Révision</t>
        </is>
      </c>
    </row>
    <row r="7">
      <c r="A7" s="5" t="n">
        <v>46239</v>
      </c>
      <c r="B7" t="inlineStr">
        <is>
          <t>11:30</t>
        </is>
      </c>
      <c r="C7" t="inlineStr">
        <is>
          <t>Fournisseur</t>
        </is>
      </c>
      <c r="F7" t="inlineStr">
        <is>
          <t>fait</t>
        </is>
      </c>
      <c r="G7" t="inlineStr">
        <is>
          <t>Pneus hiver</t>
        </is>
      </c>
    </row>
    <row r="8">
      <c r="A8" s="5" t="n">
        <v>46240</v>
      </c>
      <c r="B8" t="inlineStr">
        <is>
          <t>10:00</t>
        </is>
      </c>
      <c r="C8" t="inlineStr">
        <is>
          <t>Entretien garage</t>
        </is>
      </c>
      <c r="D8" t="inlineStr">
        <is>
          <t>23911-A-1</t>
        </is>
      </c>
      <c r="F8" t="inlineStr">
        <is>
          <t>fait</t>
        </is>
      </c>
      <c r="G8" t="inlineStr">
        <is>
          <t>Révision</t>
        </is>
      </c>
    </row>
    <row r="9">
      <c r="A9" s="5" t="n">
        <v>46242</v>
      </c>
      <c r="B9" t="inlineStr">
        <is>
          <t>16:00</t>
        </is>
      </c>
      <c r="C9" t="inlineStr">
        <is>
          <t>Rendez-vous client</t>
        </is>
      </c>
      <c r="E9" t="inlineStr">
        <is>
          <t>BE636382</t>
        </is>
      </c>
      <c r="F9" t="inlineStr">
        <is>
          <t>fait</t>
        </is>
      </c>
      <c r="G9" t="inlineStr">
        <is>
          <t>Contrat entreprise</t>
        </is>
      </c>
    </row>
    <row r="10">
      <c r="A10" s="5" t="n">
        <v>46244</v>
      </c>
      <c r="B10" t="inlineStr">
        <is>
          <t>9:30</t>
        </is>
      </c>
      <c r="C10" t="inlineStr">
        <is>
          <t>Expertise sinistre</t>
        </is>
      </c>
      <c r="D10" t="inlineStr">
        <is>
          <t>83373-B-1</t>
        </is>
      </c>
      <c r="F10" t="inlineStr">
        <is>
          <t>fait</t>
        </is>
      </c>
      <c r="G10" t="inlineStr">
        <is>
          <t>Rayure portière</t>
        </is>
      </c>
    </row>
    <row r="11">
      <c r="A11" s="5" t="n">
        <v>46246</v>
      </c>
      <c r="B11" t="inlineStr">
        <is>
          <t>15:00</t>
        </is>
      </c>
      <c r="C11" t="inlineStr">
        <is>
          <t>Entretien garage</t>
        </is>
      </c>
      <c r="D11" t="inlineStr">
        <is>
          <t>33992-B-1</t>
        </is>
      </c>
      <c r="F11" t="inlineStr">
        <is>
          <t>fait</t>
        </is>
      </c>
      <c r="G11" t="inlineStr">
        <is>
          <t>Révision</t>
        </is>
      </c>
    </row>
    <row r="12">
      <c r="A12" s="5" t="n">
        <v>46247</v>
      </c>
      <c r="B12" t="inlineStr">
        <is>
          <t>14:30</t>
        </is>
      </c>
      <c r="C12" t="inlineStr">
        <is>
          <t>Fournisseur</t>
        </is>
      </c>
      <c r="F12" t="inlineStr">
        <is>
          <t>fait</t>
        </is>
      </c>
      <c r="G12" t="inlineStr">
        <is>
          <t>Pneus hiver</t>
        </is>
      </c>
    </row>
    <row r="13">
      <c r="A13" s="5" t="n">
        <v>46249</v>
      </c>
      <c r="B13" t="inlineStr">
        <is>
          <t>10:00</t>
        </is>
      </c>
      <c r="C13" t="inlineStr">
        <is>
          <t>Expertise sinistre</t>
        </is>
      </c>
      <c r="D13" t="inlineStr">
        <is>
          <t>35623-W-1</t>
        </is>
      </c>
      <c r="F13" t="inlineStr">
        <is>
          <t>fait</t>
        </is>
      </c>
      <c r="G13" t="inlineStr">
        <is>
          <t>Rayure portière</t>
        </is>
      </c>
    </row>
    <row r="14">
      <c r="A14" s="5" t="n">
        <v>46253</v>
      </c>
      <c r="B14" t="inlineStr">
        <is>
          <t>16:30</t>
        </is>
      </c>
      <c r="C14" t="inlineStr">
        <is>
          <t>Entretien garage</t>
        </is>
      </c>
      <c r="D14" t="inlineStr">
        <is>
          <t>69873-A-1</t>
        </is>
      </c>
      <c r="F14" t="inlineStr">
        <is>
          <t>fait</t>
        </is>
      </c>
      <c r="G14" t="inlineStr">
        <is>
          <t>Révision</t>
        </is>
      </c>
    </row>
    <row r="15">
      <c r="A15" s="5" t="n">
        <v>46254</v>
      </c>
      <c r="B15" t="inlineStr">
        <is>
          <t>15:30</t>
        </is>
      </c>
      <c r="C15" t="inlineStr">
        <is>
          <t>Entretien garage</t>
        </is>
      </c>
      <c r="D15" t="inlineStr">
        <is>
          <t>76897-B-1</t>
        </is>
      </c>
      <c r="F15" t="inlineStr">
        <is>
          <t>fait</t>
        </is>
      </c>
      <c r="G15" t="inlineStr">
        <is>
          <t>Révision</t>
        </is>
      </c>
    </row>
    <row r="16">
      <c r="A16" s="5" t="n">
        <v>46256</v>
      </c>
      <c r="B16" t="inlineStr">
        <is>
          <t>11:00</t>
        </is>
      </c>
      <c r="C16" t="inlineStr">
        <is>
          <t>Renouvellement assurance</t>
        </is>
      </c>
      <c r="D16" t="inlineStr">
        <is>
          <t>95936-H-1</t>
        </is>
      </c>
      <c r="F16" t="inlineStr">
        <is>
          <t>fait</t>
        </is>
      </c>
      <c r="G16" t="inlineStr"/>
    </row>
    <row r="17">
      <c r="A17" s="5" t="n">
        <v>46259</v>
      </c>
      <c r="B17" t="inlineStr">
        <is>
          <t>16:00</t>
        </is>
      </c>
      <c r="C17" t="inlineStr">
        <is>
          <t>Fournisseur</t>
        </is>
      </c>
      <c r="F17" t="inlineStr">
        <is>
          <t>fait</t>
        </is>
      </c>
      <c r="G17" t="inlineStr">
        <is>
          <t>Leasing : 2 citadines</t>
        </is>
      </c>
    </row>
    <row r="18">
      <c r="A18" s="5" t="n">
        <v>46265</v>
      </c>
      <c r="B18" t="inlineStr">
        <is>
          <t>10:30</t>
        </is>
      </c>
      <c r="C18" t="inlineStr">
        <is>
          <t>Rendez-vous client</t>
        </is>
      </c>
      <c r="E18" t="inlineStr">
        <is>
          <t>AB8443832</t>
        </is>
      </c>
      <c r="F18" t="inlineStr">
        <is>
          <t>fait</t>
        </is>
      </c>
      <c r="G18" t="inlineStr">
        <is>
          <t>Contrat entreprise</t>
        </is>
      </c>
    </row>
    <row r="19">
      <c r="A19" s="5" t="n">
        <v>46267</v>
      </c>
      <c r="B19" t="inlineStr">
        <is>
          <t>14:00</t>
        </is>
      </c>
      <c r="C19" t="inlineStr">
        <is>
          <t>Entretien garage</t>
        </is>
      </c>
      <c r="D19" t="inlineStr">
        <is>
          <t>22080-H-1</t>
        </is>
      </c>
      <c r="F19" t="inlineStr">
        <is>
          <t>fait</t>
        </is>
      </c>
      <c r="G19" t="inlineStr">
        <is>
          <t>Révision</t>
        </is>
      </c>
    </row>
    <row r="20">
      <c r="A20" s="5" t="n">
        <v>46273</v>
      </c>
      <c r="B20" t="inlineStr">
        <is>
          <t>16:00</t>
        </is>
      </c>
      <c r="C20" t="inlineStr">
        <is>
          <t>Entretien garage</t>
        </is>
      </c>
      <c r="D20" t="inlineStr">
        <is>
          <t>91567-W-1</t>
        </is>
      </c>
      <c r="F20" t="inlineStr">
        <is>
          <t>fait</t>
        </is>
      </c>
      <c r="G20" t="inlineStr">
        <is>
          <t>Révision</t>
        </is>
      </c>
    </row>
    <row r="21">
      <c r="A21" s="5" t="n">
        <v>46274</v>
      </c>
      <c r="B21" t="inlineStr">
        <is>
          <t>9:00</t>
        </is>
      </c>
      <c r="C21" t="inlineStr">
        <is>
          <t>Entretien garage</t>
        </is>
      </c>
      <c r="D21" t="inlineStr">
        <is>
          <t>94626-B-1</t>
        </is>
      </c>
      <c r="F21" t="inlineStr">
        <is>
          <t>fait</t>
        </is>
      </c>
      <c r="G21" t="inlineStr">
        <is>
          <t>Révision</t>
        </is>
      </c>
    </row>
    <row r="22">
      <c r="A22" s="5" t="n">
        <v>46283</v>
      </c>
      <c r="B22" t="inlineStr">
        <is>
          <t>16:30</t>
        </is>
      </c>
      <c r="C22" t="inlineStr">
        <is>
          <t>Rendez-vous client</t>
        </is>
      </c>
      <c r="E22" t="inlineStr">
        <is>
          <t>AD523795</t>
        </is>
      </c>
      <c r="F22" t="inlineStr">
        <is>
          <t>fait</t>
        </is>
      </c>
      <c r="G22" t="inlineStr">
        <is>
          <t>Touriste — navette aéroport</t>
        </is>
      </c>
    </row>
    <row r="23">
      <c r="A23" s="5" t="n">
        <v>46284</v>
      </c>
      <c r="B23" t="inlineStr">
        <is>
          <t>15:00</t>
        </is>
      </c>
      <c r="C23" t="inlineStr">
        <is>
          <t>Rendez-vous client</t>
        </is>
      </c>
      <c r="E23" t="inlineStr">
        <is>
          <t>DA532628</t>
        </is>
      </c>
      <c r="F23" t="inlineStr">
        <is>
          <t>fait</t>
        </is>
      </c>
      <c r="G23" t="inlineStr">
        <is>
          <t>Contrat entreprise</t>
        </is>
      </c>
    </row>
    <row r="24">
      <c r="A24" s="5" t="n">
        <v>46288</v>
      </c>
      <c r="B24" t="inlineStr">
        <is>
          <t>11:00</t>
        </is>
      </c>
      <c r="C24" t="inlineStr">
        <is>
          <t>Entretien garage</t>
        </is>
      </c>
      <c r="D24" t="inlineStr">
        <is>
          <t>75329-D-1</t>
        </is>
      </c>
      <c r="F24" t="inlineStr">
        <is>
          <t>fait</t>
        </is>
      </c>
      <c r="G24" t="inlineStr">
        <is>
          <t>Révision</t>
        </is>
      </c>
    </row>
    <row r="25">
      <c r="A25" s="5" t="n">
        <v>46290</v>
      </c>
      <c r="B25" t="inlineStr">
        <is>
          <t>11:30</t>
        </is>
      </c>
      <c r="C25" t="inlineStr">
        <is>
          <t>Entretien garage</t>
        </is>
      </c>
      <c r="D25" t="inlineStr">
        <is>
          <t>54616-W-1</t>
        </is>
      </c>
      <c r="F25" t="inlineStr">
        <is>
          <t>prévu</t>
        </is>
      </c>
      <c r="G25" t="inlineStr">
        <is>
          <t>Révision</t>
        </is>
      </c>
    </row>
  </sheetData>
  <dataValidations count="1">
    <dataValidation sqref="C2:C324" showDropDown="0" showInputMessage="0" showErrorMessage="0" allowBlank="0" type="list">
      <formula1>"Entretien garage,Visite technique,Renouvellement assurance,Expertise sinistre,Rendez-vous client,Fournisseur"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2026-09-25T00:44:25Z</dcterms:created>
  <dcterms:modified xsi:type="dcterms:W3CDTF">2026-09-25T00:44:26Z</dcterms:modified>
</cp:coreProperties>
</file>